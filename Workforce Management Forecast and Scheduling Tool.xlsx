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slam\Downloads\Data Analysis\WFM\"/>
    </mc:Choice>
  </mc:AlternateContent>
  <xr:revisionPtr revIDLastSave="0" documentId="13_ncr:1_{83CDC589-2FD0-48BB-A3ED-94BA5DAB3F4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all Arraivals" sheetId="2" r:id="rId1"/>
    <sheet name="Schedule Validation" sheetId="3" r:id="rId2"/>
    <sheet name="Ros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4" l="1"/>
  <c r="H56" i="4"/>
  <c r="I56" i="4"/>
  <c r="J56" i="4"/>
  <c r="K56" i="4"/>
  <c r="L56" i="4"/>
  <c r="M56" i="4"/>
  <c r="G57" i="4"/>
  <c r="H57" i="4"/>
  <c r="I57" i="4"/>
  <c r="J57" i="4"/>
  <c r="K57" i="4"/>
  <c r="L57" i="4"/>
  <c r="M57" i="4"/>
  <c r="G58" i="4"/>
  <c r="H58" i="4"/>
  <c r="I58" i="4"/>
  <c r="J58" i="4"/>
  <c r="K58" i="4"/>
  <c r="L58" i="4"/>
  <c r="M58" i="4"/>
  <c r="G59" i="4"/>
  <c r="H59" i="4"/>
  <c r="I59" i="4"/>
  <c r="J59" i="4"/>
  <c r="K59" i="4"/>
  <c r="L59" i="4"/>
  <c r="M59" i="4"/>
  <c r="G60" i="4"/>
  <c r="H60" i="4"/>
  <c r="I60" i="4"/>
  <c r="J60" i="4"/>
  <c r="K60" i="4"/>
  <c r="L60" i="4"/>
  <c r="M60" i="4"/>
  <c r="G61" i="4"/>
  <c r="AM35" i="3" s="1"/>
  <c r="AV35" i="3" s="1"/>
  <c r="H61" i="4"/>
  <c r="I61" i="4"/>
  <c r="AO34" i="3" s="1"/>
  <c r="AX34" i="3" s="1"/>
  <c r="J61" i="4"/>
  <c r="AP34" i="3" s="1"/>
  <c r="AY34" i="3" s="1"/>
  <c r="K61" i="4"/>
  <c r="L61" i="4"/>
  <c r="M61" i="4"/>
  <c r="AS34" i="3" s="1"/>
  <c r="BB34" i="3" s="1"/>
  <c r="H55" i="4"/>
  <c r="I55" i="4"/>
  <c r="J55" i="4"/>
  <c r="K55" i="4"/>
  <c r="AQ6" i="3" s="1"/>
  <c r="AZ6" i="3" s="1"/>
  <c r="BI6" i="3" s="1"/>
  <c r="L55" i="4"/>
  <c r="AR6" i="3" s="1"/>
  <c r="BA6" i="3" s="1"/>
  <c r="M55" i="4"/>
  <c r="AS6" i="3" s="1"/>
  <c r="BB6" i="3" s="1"/>
  <c r="G55" i="4"/>
  <c r="AM7" i="3" s="1"/>
  <c r="AV7" i="3" s="1"/>
  <c r="H2" i="4"/>
  <c r="I2" i="4"/>
  <c r="J2" i="4"/>
  <c r="K2" i="4"/>
  <c r="L2" i="4"/>
  <c r="M2" i="4"/>
  <c r="G2" i="4"/>
  <c r="AD7" i="3"/>
  <c r="AE7" i="3"/>
  <c r="AF7" i="3"/>
  <c r="AG7" i="3"/>
  <c r="AH7" i="3"/>
  <c r="AI7" i="3"/>
  <c r="AJ7" i="3"/>
  <c r="AD8" i="3"/>
  <c r="AE8" i="3"/>
  <c r="AF8" i="3"/>
  <c r="AE9" i="3"/>
  <c r="AF9" i="3"/>
  <c r="AJ9" i="3"/>
  <c r="AD10" i="3"/>
  <c r="AE10" i="3"/>
  <c r="AF10" i="3"/>
  <c r="AG10" i="3"/>
  <c r="AH10" i="3"/>
  <c r="AI10" i="3"/>
  <c r="AJ10" i="3"/>
  <c r="AD11" i="3"/>
  <c r="AE11" i="3"/>
  <c r="AD12" i="3"/>
  <c r="AE12" i="3"/>
  <c r="AI12" i="3"/>
  <c r="AJ12" i="3"/>
  <c r="AD13" i="3"/>
  <c r="AE13" i="3"/>
  <c r="AF13" i="3"/>
  <c r="AG13" i="3"/>
  <c r="AH13" i="3"/>
  <c r="AI13" i="3"/>
  <c r="AJ13" i="3"/>
  <c r="AD14" i="3"/>
  <c r="AJ14" i="3"/>
  <c r="AD15" i="3"/>
  <c r="AH15" i="3"/>
  <c r="AI15" i="3"/>
  <c r="AJ15" i="3"/>
  <c r="AD16" i="3"/>
  <c r="AE16" i="3"/>
  <c r="AF16" i="3"/>
  <c r="AG16" i="3"/>
  <c r="AH16" i="3"/>
  <c r="AI16" i="3"/>
  <c r="AJ16" i="3"/>
  <c r="AI17" i="3"/>
  <c r="AJ17" i="3"/>
  <c r="AG18" i="3"/>
  <c r="AH18" i="3"/>
  <c r="AI18" i="3"/>
  <c r="AJ18" i="3"/>
  <c r="AD19" i="3"/>
  <c r="AE19" i="3"/>
  <c r="AF19" i="3"/>
  <c r="AG19" i="3"/>
  <c r="AH19" i="3"/>
  <c r="AI19" i="3"/>
  <c r="AH20" i="3"/>
  <c r="AI20" i="3"/>
  <c r="AF21" i="3"/>
  <c r="AG21" i="3"/>
  <c r="AH21" i="3"/>
  <c r="AI21" i="3"/>
  <c r="AJ21" i="3"/>
  <c r="AD22" i="3"/>
  <c r="AE22" i="3"/>
  <c r="AF22" i="3"/>
  <c r="AG22" i="3"/>
  <c r="AH22" i="3"/>
  <c r="AG23" i="3"/>
  <c r="AH23" i="3"/>
  <c r="AE24" i="3"/>
  <c r="AF24" i="3"/>
  <c r="AG24" i="3"/>
  <c r="AH24" i="3"/>
  <c r="AI24" i="3"/>
  <c r="AJ24" i="3"/>
  <c r="AD25" i="3"/>
  <c r="AE25" i="3"/>
  <c r="AF25" i="3"/>
  <c r="AG25" i="3"/>
  <c r="AF26" i="3"/>
  <c r="AG26" i="3"/>
  <c r="AD27" i="3"/>
  <c r="AE27" i="3"/>
  <c r="AF27" i="3"/>
  <c r="AG27" i="3"/>
  <c r="AH27" i="3"/>
  <c r="AI27" i="3"/>
  <c r="AJ27" i="3"/>
  <c r="AD28" i="3"/>
  <c r="AE28" i="3"/>
  <c r="AF28" i="3"/>
  <c r="AE29" i="3"/>
  <c r="AF29" i="3"/>
  <c r="AJ29" i="3"/>
  <c r="AD30" i="3"/>
  <c r="AE30" i="3"/>
  <c r="AF30" i="3"/>
  <c r="AG30" i="3"/>
  <c r="AH30" i="3"/>
  <c r="AI30" i="3"/>
  <c r="AJ30" i="3"/>
  <c r="AD31" i="3"/>
  <c r="AE31" i="3"/>
  <c r="AD32" i="3"/>
  <c r="AE32" i="3"/>
  <c r="AI32" i="3"/>
  <c r="AJ32" i="3"/>
  <c r="AD33" i="3"/>
  <c r="AE33" i="3"/>
  <c r="AF33" i="3"/>
  <c r="AG33" i="3"/>
  <c r="AH33" i="3"/>
  <c r="AI33" i="3"/>
  <c r="AJ33" i="3"/>
  <c r="AD34" i="3"/>
  <c r="AJ34" i="3"/>
  <c r="AD35" i="3"/>
  <c r="AH35" i="3"/>
  <c r="AI35" i="3"/>
  <c r="AJ35" i="3"/>
  <c r="AE6" i="3"/>
  <c r="AF6" i="3"/>
  <c r="AG6" i="3"/>
  <c r="AH6" i="3"/>
  <c r="AI6" i="3"/>
  <c r="AJ6" i="3"/>
  <c r="AD6" i="3"/>
  <c r="U7" i="3"/>
  <c r="V7" i="3"/>
  <c r="W7" i="3"/>
  <c r="X7" i="3"/>
  <c r="Y7" i="3"/>
  <c r="Z7" i="3"/>
  <c r="AA7" i="3"/>
  <c r="U8" i="3"/>
  <c r="V8" i="3"/>
  <c r="W8" i="3"/>
  <c r="X8" i="3"/>
  <c r="AG8" i="3" s="1"/>
  <c r="Y8" i="3"/>
  <c r="AH8" i="3" s="1"/>
  <c r="Z8" i="3"/>
  <c r="AI8" i="3" s="1"/>
  <c r="AA8" i="3"/>
  <c r="AJ8" i="3" s="1"/>
  <c r="U9" i="3"/>
  <c r="AD9" i="3" s="1"/>
  <c r="V9" i="3"/>
  <c r="W9" i="3"/>
  <c r="X9" i="3"/>
  <c r="AG9" i="3" s="1"/>
  <c r="Y9" i="3"/>
  <c r="AH9" i="3" s="1"/>
  <c r="Z9" i="3"/>
  <c r="AI9" i="3" s="1"/>
  <c r="AA9" i="3"/>
  <c r="U10" i="3"/>
  <c r="V10" i="3"/>
  <c r="W10" i="3"/>
  <c r="X10" i="3"/>
  <c r="Y10" i="3"/>
  <c r="Z10" i="3"/>
  <c r="AA10" i="3"/>
  <c r="U11" i="3"/>
  <c r="V11" i="3"/>
  <c r="W11" i="3"/>
  <c r="AF11" i="3" s="1"/>
  <c r="X11" i="3"/>
  <c r="AG11" i="3" s="1"/>
  <c r="Y11" i="3"/>
  <c r="AH11" i="3" s="1"/>
  <c r="Z11" i="3"/>
  <c r="AI11" i="3" s="1"/>
  <c r="AA11" i="3"/>
  <c r="AJ11" i="3" s="1"/>
  <c r="U12" i="3"/>
  <c r="V12" i="3"/>
  <c r="W12" i="3"/>
  <c r="AF12" i="3" s="1"/>
  <c r="X12" i="3"/>
  <c r="AG12" i="3" s="1"/>
  <c r="Y12" i="3"/>
  <c r="AH12" i="3" s="1"/>
  <c r="Z12" i="3"/>
  <c r="AA12" i="3"/>
  <c r="U13" i="3"/>
  <c r="V13" i="3"/>
  <c r="W13" i="3"/>
  <c r="X13" i="3"/>
  <c r="Y13" i="3"/>
  <c r="Z13" i="3"/>
  <c r="AA13" i="3"/>
  <c r="U14" i="3"/>
  <c r="V14" i="3"/>
  <c r="AE14" i="3" s="1"/>
  <c r="W14" i="3"/>
  <c r="AF14" i="3" s="1"/>
  <c r="X14" i="3"/>
  <c r="AG14" i="3" s="1"/>
  <c r="Y14" i="3"/>
  <c r="AH14" i="3" s="1"/>
  <c r="Z14" i="3"/>
  <c r="AI14" i="3" s="1"/>
  <c r="AA14" i="3"/>
  <c r="U15" i="3"/>
  <c r="V15" i="3"/>
  <c r="AE15" i="3" s="1"/>
  <c r="W15" i="3"/>
  <c r="AF15" i="3" s="1"/>
  <c r="X15" i="3"/>
  <c r="AG15" i="3" s="1"/>
  <c r="Y15" i="3"/>
  <c r="Z15" i="3"/>
  <c r="AA15" i="3"/>
  <c r="U16" i="3"/>
  <c r="V16" i="3"/>
  <c r="W16" i="3"/>
  <c r="X16" i="3"/>
  <c r="Y16" i="3"/>
  <c r="Z16" i="3"/>
  <c r="AA16" i="3"/>
  <c r="U17" i="3"/>
  <c r="AD17" i="3" s="1"/>
  <c r="V17" i="3"/>
  <c r="AE17" i="3" s="1"/>
  <c r="W17" i="3"/>
  <c r="AF17" i="3" s="1"/>
  <c r="X17" i="3"/>
  <c r="AG17" i="3" s="1"/>
  <c r="Y17" i="3"/>
  <c r="AH17" i="3" s="1"/>
  <c r="Z17" i="3"/>
  <c r="AA17" i="3"/>
  <c r="U18" i="3"/>
  <c r="AD18" i="3" s="1"/>
  <c r="V18" i="3"/>
  <c r="AE18" i="3" s="1"/>
  <c r="W18" i="3"/>
  <c r="AF18" i="3" s="1"/>
  <c r="X18" i="3"/>
  <c r="Y18" i="3"/>
  <c r="Z18" i="3"/>
  <c r="AA18" i="3"/>
  <c r="U19" i="3"/>
  <c r="V19" i="3"/>
  <c r="W19" i="3"/>
  <c r="X19" i="3"/>
  <c r="Y19" i="3"/>
  <c r="Z19" i="3"/>
  <c r="AA19" i="3"/>
  <c r="AJ19" i="3" s="1"/>
  <c r="U20" i="3"/>
  <c r="AD20" i="3" s="1"/>
  <c r="V20" i="3"/>
  <c r="AE20" i="3" s="1"/>
  <c r="W20" i="3"/>
  <c r="AF20" i="3" s="1"/>
  <c r="X20" i="3"/>
  <c r="AG20" i="3" s="1"/>
  <c r="Y20" i="3"/>
  <c r="Z20" i="3"/>
  <c r="AA20" i="3"/>
  <c r="AJ20" i="3" s="1"/>
  <c r="U21" i="3"/>
  <c r="AD21" i="3" s="1"/>
  <c r="V21" i="3"/>
  <c r="AE21" i="3" s="1"/>
  <c r="W21" i="3"/>
  <c r="X21" i="3"/>
  <c r="Y21" i="3"/>
  <c r="Z21" i="3"/>
  <c r="AA21" i="3"/>
  <c r="U22" i="3"/>
  <c r="V22" i="3"/>
  <c r="W22" i="3"/>
  <c r="X22" i="3"/>
  <c r="Y22" i="3"/>
  <c r="Z22" i="3"/>
  <c r="AI22" i="3" s="1"/>
  <c r="AA22" i="3"/>
  <c r="AJ22" i="3" s="1"/>
  <c r="U23" i="3"/>
  <c r="AD23" i="3" s="1"/>
  <c r="V23" i="3"/>
  <c r="AE23" i="3" s="1"/>
  <c r="W23" i="3"/>
  <c r="AF23" i="3" s="1"/>
  <c r="X23" i="3"/>
  <c r="Y23" i="3"/>
  <c r="Z23" i="3"/>
  <c r="AI23" i="3" s="1"/>
  <c r="AA23" i="3"/>
  <c r="AJ23" i="3" s="1"/>
  <c r="U24" i="3"/>
  <c r="AD24" i="3" s="1"/>
  <c r="V24" i="3"/>
  <c r="W24" i="3"/>
  <c r="X24" i="3"/>
  <c r="Y24" i="3"/>
  <c r="Z24" i="3"/>
  <c r="AA24" i="3"/>
  <c r="U25" i="3"/>
  <c r="V25" i="3"/>
  <c r="W25" i="3"/>
  <c r="X25" i="3"/>
  <c r="Y25" i="3"/>
  <c r="AH25" i="3" s="1"/>
  <c r="Z25" i="3"/>
  <c r="AI25" i="3" s="1"/>
  <c r="AA25" i="3"/>
  <c r="AJ25" i="3" s="1"/>
  <c r="U26" i="3"/>
  <c r="AD26" i="3" s="1"/>
  <c r="V26" i="3"/>
  <c r="AE26" i="3" s="1"/>
  <c r="W26" i="3"/>
  <c r="X26" i="3"/>
  <c r="Y26" i="3"/>
  <c r="AH26" i="3" s="1"/>
  <c r="Z26" i="3"/>
  <c r="AI26" i="3" s="1"/>
  <c r="AA26" i="3"/>
  <c r="AJ26" i="3" s="1"/>
  <c r="U27" i="3"/>
  <c r="V27" i="3"/>
  <c r="W27" i="3"/>
  <c r="X27" i="3"/>
  <c r="Y27" i="3"/>
  <c r="Z27" i="3"/>
  <c r="AA27" i="3"/>
  <c r="U28" i="3"/>
  <c r="V28" i="3"/>
  <c r="W28" i="3"/>
  <c r="X28" i="3"/>
  <c r="AG28" i="3" s="1"/>
  <c r="Y28" i="3"/>
  <c r="AH28" i="3" s="1"/>
  <c r="Z28" i="3"/>
  <c r="AI28" i="3" s="1"/>
  <c r="AA28" i="3"/>
  <c r="AJ28" i="3" s="1"/>
  <c r="U29" i="3"/>
  <c r="AD29" i="3" s="1"/>
  <c r="V29" i="3"/>
  <c r="W29" i="3"/>
  <c r="X29" i="3"/>
  <c r="AG29" i="3" s="1"/>
  <c r="Y29" i="3"/>
  <c r="AH29" i="3" s="1"/>
  <c r="Z29" i="3"/>
  <c r="AI29" i="3" s="1"/>
  <c r="AA29" i="3"/>
  <c r="U30" i="3"/>
  <c r="V30" i="3"/>
  <c r="W30" i="3"/>
  <c r="X30" i="3"/>
  <c r="Y30" i="3"/>
  <c r="Z30" i="3"/>
  <c r="AA30" i="3"/>
  <c r="U31" i="3"/>
  <c r="V31" i="3"/>
  <c r="W31" i="3"/>
  <c r="AF31" i="3" s="1"/>
  <c r="X31" i="3"/>
  <c r="AG31" i="3" s="1"/>
  <c r="Y31" i="3"/>
  <c r="AH31" i="3" s="1"/>
  <c r="Z31" i="3"/>
  <c r="AI31" i="3" s="1"/>
  <c r="AA31" i="3"/>
  <c r="AJ31" i="3" s="1"/>
  <c r="U32" i="3"/>
  <c r="V32" i="3"/>
  <c r="W32" i="3"/>
  <c r="AF32" i="3" s="1"/>
  <c r="X32" i="3"/>
  <c r="AG32" i="3" s="1"/>
  <c r="Y32" i="3"/>
  <c r="AH32" i="3" s="1"/>
  <c r="Z32" i="3"/>
  <c r="AA32" i="3"/>
  <c r="U33" i="3"/>
  <c r="V33" i="3"/>
  <c r="W33" i="3"/>
  <c r="X33" i="3"/>
  <c r="Y33" i="3"/>
  <c r="Z33" i="3"/>
  <c r="AA33" i="3"/>
  <c r="U34" i="3"/>
  <c r="V34" i="3"/>
  <c r="AE34" i="3" s="1"/>
  <c r="W34" i="3"/>
  <c r="AF34" i="3" s="1"/>
  <c r="X34" i="3"/>
  <c r="AG34" i="3" s="1"/>
  <c r="Y34" i="3"/>
  <c r="AH34" i="3" s="1"/>
  <c r="Z34" i="3"/>
  <c r="AI34" i="3" s="1"/>
  <c r="AA34" i="3"/>
  <c r="U35" i="3"/>
  <c r="V35" i="3"/>
  <c r="AE35" i="3" s="1"/>
  <c r="W35" i="3"/>
  <c r="AF35" i="3" s="1"/>
  <c r="X35" i="3"/>
  <c r="AG35" i="3" s="1"/>
  <c r="Y35" i="3"/>
  <c r="Z35" i="3"/>
  <c r="AA35" i="3"/>
  <c r="V6" i="3"/>
  <c r="W6" i="3"/>
  <c r="X6" i="3"/>
  <c r="Y6" i="3"/>
  <c r="Z6" i="3"/>
  <c r="AA6" i="3"/>
  <c r="U6" i="3"/>
  <c r="V36" i="3" s="1"/>
  <c r="BE33" i="2"/>
  <c r="BF33" i="2"/>
  <c r="BG33" i="2"/>
  <c r="BH33" i="2"/>
  <c r="BI33" i="2"/>
  <c r="BJ33" i="2"/>
  <c r="BD33" i="2"/>
  <c r="AV34" i="2"/>
  <c r="AW34" i="2"/>
  <c r="AX34" i="2"/>
  <c r="AY34" i="2"/>
  <c r="AZ34" i="2"/>
  <c r="BA34" i="2"/>
  <c r="AU34" i="2"/>
  <c r="BD4" i="2"/>
  <c r="BE4" i="2"/>
  <c r="BF4" i="2"/>
  <c r="BG4" i="2"/>
  <c r="BH4" i="2"/>
  <c r="BI4" i="2"/>
  <c r="BJ4" i="2"/>
  <c r="BD5" i="2"/>
  <c r="BE5" i="2"/>
  <c r="BF5" i="2"/>
  <c r="BG5" i="2"/>
  <c r="BH5" i="2"/>
  <c r="BI5" i="2"/>
  <c r="BJ5" i="2"/>
  <c r="BD6" i="2"/>
  <c r="BE6" i="2"/>
  <c r="BF6" i="2"/>
  <c r="BG6" i="2"/>
  <c r="BH6" i="2"/>
  <c r="BI6" i="2"/>
  <c r="BJ6" i="2"/>
  <c r="BD7" i="2"/>
  <c r="BE7" i="2"/>
  <c r="BF7" i="2"/>
  <c r="BG7" i="2"/>
  <c r="BH7" i="2"/>
  <c r="BI7" i="2"/>
  <c r="BJ7" i="2"/>
  <c r="BD8" i="2"/>
  <c r="BE8" i="2"/>
  <c r="BF8" i="2"/>
  <c r="BG8" i="2"/>
  <c r="BH8" i="2"/>
  <c r="BI8" i="2"/>
  <c r="BJ8" i="2"/>
  <c r="BD9" i="2"/>
  <c r="BE9" i="2"/>
  <c r="BF9" i="2"/>
  <c r="BG9" i="2"/>
  <c r="BH9" i="2"/>
  <c r="BI9" i="2"/>
  <c r="BJ9" i="2"/>
  <c r="BD10" i="2"/>
  <c r="BE10" i="2"/>
  <c r="BF10" i="2"/>
  <c r="BG10" i="2"/>
  <c r="BH10" i="2"/>
  <c r="BI10" i="2"/>
  <c r="BJ10" i="2"/>
  <c r="BD11" i="2"/>
  <c r="BE11" i="2"/>
  <c r="BF11" i="2"/>
  <c r="BG11" i="2"/>
  <c r="BH11" i="2"/>
  <c r="BI11" i="2"/>
  <c r="BJ11" i="2"/>
  <c r="BD12" i="2"/>
  <c r="BE12" i="2"/>
  <c r="BF12" i="2"/>
  <c r="BG12" i="2"/>
  <c r="BH12" i="2"/>
  <c r="BI12" i="2"/>
  <c r="BJ12" i="2"/>
  <c r="BD13" i="2"/>
  <c r="BE13" i="2"/>
  <c r="BF13" i="2"/>
  <c r="BG13" i="2"/>
  <c r="BH13" i="2"/>
  <c r="BI13" i="2"/>
  <c r="BJ13" i="2"/>
  <c r="BD14" i="2"/>
  <c r="BE14" i="2"/>
  <c r="BF14" i="2"/>
  <c r="BG14" i="2"/>
  <c r="BH14" i="2"/>
  <c r="BI14" i="2"/>
  <c r="BJ14" i="2"/>
  <c r="BD15" i="2"/>
  <c r="BE15" i="2"/>
  <c r="BF15" i="2"/>
  <c r="BG15" i="2"/>
  <c r="BH15" i="2"/>
  <c r="BI15" i="2"/>
  <c r="BJ15" i="2"/>
  <c r="BD16" i="2"/>
  <c r="BE16" i="2"/>
  <c r="BF16" i="2"/>
  <c r="BG16" i="2"/>
  <c r="BH16" i="2"/>
  <c r="BI16" i="2"/>
  <c r="BJ16" i="2"/>
  <c r="BD17" i="2"/>
  <c r="BE17" i="2"/>
  <c r="BF17" i="2"/>
  <c r="BG17" i="2"/>
  <c r="BH17" i="2"/>
  <c r="BI17" i="2"/>
  <c r="BJ17" i="2"/>
  <c r="BD18" i="2"/>
  <c r="BE18" i="2"/>
  <c r="BF18" i="2"/>
  <c r="BG18" i="2"/>
  <c r="BH18" i="2"/>
  <c r="BI18" i="2"/>
  <c r="BJ18" i="2"/>
  <c r="BD19" i="2"/>
  <c r="BE19" i="2"/>
  <c r="BF19" i="2"/>
  <c r="BG19" i="2"/>
  <c r="BH19" i="2"/>
  <c r="BI19" i="2"/>
  <c r="BJ19" i="2"/>
  <c r="BD20" i="2"/>
  <c r="BE20" i="2"/>
  <c r="BF20" i="2"/>
  <c r="BG20" i="2"/>
  <c r="BH20" i="2"/>
  <c r="BI20" i="2"/>
  <c r="BJ20" i="2"/>
  <c r="BD21" i="2"/>
  <c r="BE21" i="2"/>
  <c r="BF21" i="2"/>
  <c r="BG21" i="2"/>
  <c r="BH21" i="2"/>
  <c r="BI21" i="2"/>
  <c r="BJ21" i="2"/>
  <c r="BD22" i="2"/>
  <c r="BE22" i="2"/>
  <c r="BF22" i="2"/>
  <c r="BG22" i="2"/>
  <c r="BH22" i="2"/>
  <c r="BI22" i="2"/>
  <c r="BJ22" i="2"/>
  <c r="BD23" i="2"/>
  <c r="BE23" i="2"/>
  <c r="BF23" i="2"/>
  <c r="BG23" i="2"/>
  <c r="BH23" i="2"/>
  <c r="BI23" i="2"/>
  <c r="BJ23" i="2"/>
  <c r="BD24" i="2"/>
  <c r="BE24" i="2"/>
  <c r="BF24" i="2"/>
  <c r="BG24" i="2"/>
  <c r="BH24" i="2"/>
  <c r="BI24" i="2"/>
  <c r="BJ24" i="2"/>
  <c r="BD25" i="2"/>
  <c r="BE25" i="2"/>
  <c r="BF25" i="2"/>
  <c r="BG25" i="2"/>
  <c r="BH25" i="2"/>
  <c r="BI25" i="2"/>
  <c r="BJ25" i="2"/>
  <c r="BD26" i="2"/>
  <c r="BE26" i="2"/>
  <c r="BF26" i="2"/>
  <c r="BG26" i="2"/>
  <c r="BH26" i="2"/>
  <c r="BI26" i="2"/>
  <c r="BJ26" i="2"/>
  <c r="BD27" i="2"/>
  <c r="BE27" i="2"/>
  <c r="BF27" i="2"/>
  <c r="BG27" i="2"/>
  <c r="BH27" i="2"/>
  <c r="BI27" i="2"/>
  <c r="BJ27" i="2"/>
  <c r="BD28" i="2"/>
  <c r="BE28" i="2"/>
  <c r="BF28" i="2"/>
  <c r="BG28" i="2"/>
  <c r="BH28" i="2"/>
  <c r="BI28" i="2"/>
  <c r="BJ28" i="2"/>
  <c r="BD29" i="2"/>
  <c r="BE29" i="2"/>
  <c r="BF29" i="2"/>
  <c r="BG29" i="2"/>
  <c r="BH29" i="2"/>
  <c r="BI29" i="2"/>
  <c r="BJ29" i="2"/>
  <c r="BD30" i="2"/>
  <c r="BE30" i="2"/>
  <c r="BF30" i="2"/>
  <c r="BG30" i="2"/>
  <c r="BH30" i="2"/>
  <c r="BI30" i="2"/>
  <c r="BJ30" i="2"/>
  <c r="BD31" i="2"/>
  <c r="BE31" i="2"/>
  <c r="BF31" i="2"/>
  <c r="BG31" i="2"/>
  <c r="BH31" i="2"/>
  <c r="BI31" i="2"/>
  <c r="BJ31" i="2"/>
  <c r="BD32" i="2"/>
  <c r="BE32" i="2"/>
  <c r="BF32" i="2"/>
  <c r="BG32" i="2"/>
  <c r="BH32" i="2"/>
  <c r="BI32" i="2"/>
  <c r="BJ32" i="2"/>
  <c r="BE3" i="2"/>
  <c r="BF3" i="2"/>
  <c r="BG3" i="2"/>
  <c r="BH3" i="2"/>
  <c r="BI3" i="2"/>
  <c r="BJ3" i="2"/>
  <c r="AU20" i="2"/>
  <c r="AV20" i="2"/>
  <c r="AW20" i="2"/>
  <c r="AX20" i="2"/>
  <c r="AY20" i="2"/>
  <c r="AZ20" i="2"/>
  <c r="BA20" i="2"/>
  <c r="AU21" i="2"/>
  <c r="AV21" i="2"/>
  <c r="AW21" i="2"/>
  <c r="AX21" i="2"/>
  <c r="AY21" i="2"/>
  <c r="AZ21" i="2"/>
  <c r="BA21" i="2"/>
  <c r="AU22" i="2"/>
  <c r="AV22" i="2"/>
  <c r="AW22" i="2"/>
  <c r="AX22" i="2"/>
  <c r="AY22" i="2"/>
  <c r="AZ22" i="2"/>
  <c r="BA22" i="2"/>
  <c r="AU23" i="2"/>
  <c r="AV23" i="2"/>
  <c r="AW23" i="2"/>
  <c r="AX23" i="2"/>
  <c r="AY23" i="2"/>
  <c r="AZ23" i="2"/>
  <c r="BA23" i="2"/>
  <c r="AU24" i="2"/>
  <c r="AV24" i="2"/>
  <c r="AW24" i="2"/>
  <c r="AX24" i="2"/>
  <c r="AY24" i="2"/>
  <c r="AZ24" i="2"/>
  <c r="BA24" i="2"/>
  <c r="AU25" i="2"/>
  <c r="AV25" i="2"/>
  <c r="AW25" i="2"/>
  <c r="AX25" i="2"/>
  <c r="AY25" i="2"/>
  <c r="AZ25" i="2"/>
  <c r="BA25" i="2"/>
  <c r="AU26" i="2"/>
  <c r="AV26" i="2"/>
  <c r="AW26" i="2"/>
  <c r="AX26" i="2"/>
  <c r="AY26" i="2"/>
  <c r="AZ26" i="2"/>
  <c r="BA26" i="2"/>
  <c r="AU27" i="2"/>
  <c r="AV27" i="2"/>
  <c r="AW27" i="2"/>
  <c r="AX27" i="2"/>
  <c r="AY27" i="2"/>
  <c r="AZ27" i="2"/>
  <c r="BA27" i="2"/>
  <c r="AU28" i="2"/>
  <c r="AV28" i="2"/>
  <c r="AW28" i="2"/>
  <c r="AX28" i="2"/>
  <c r="AY28" i="2"/>
  <c r="AZ28" i="2"/>
  <c r="BA28" i="2"/>
  <c r="AU29" i="2"/>
  <c r="AV29" i="2"/>
  <c r="AW29" i="2"/>
  <c r="AX29" i="2"/>
  <c r="AY29" i="2"/>
  <c r="AZ29" i="2"/>
  <c r="BA29" i="2"/>
  <c r="AU30" i="2"/>
  <c r="AV30" i="2"/>
  <c r="AW30" i="2"/>
  <c r="AX30" i="2"/>
  <c r="AY30" i="2"/>
  <c r="AZ30" i="2"/>
  <c r="BA30" i="2"/>
  <c r="AU31" i="2"/>
  <c r="AV31" i="2"/>
  <c r="AW31" i="2"/>
  <c r="AX31" i="2"/>
  <c r="AY31" i="2"/>
  <c r="AZ31" i="2"/>
  <c r="BA31" i="2"/>
  <c r="AU32" i="2"/>
  <c r="AV32" i="2"/>
  <c r="AW32" i="2"/>
  <c r="AX32" i="2"/>
  <c r="AY32" i="2"/>
  <c r="AZ32" i="2"/>
  <c r="BA32" i="2"/>
  <c r="AU4" i="2"/>
  <c r="AV4" i="2"/>
  <c r="AW4" i="2"/>
  <c r="AX4" i="2"/>
  <c r="AY4" i="2"/>
  <c r="AZ4" i="2"/>
  <c r="BA4" i="2"/>
  <c r="AU5" i="2"/>
  <c r="AV5" i="2"/>
  <c r="AV33" i="2" s="1"/>
  <c r="AW5" i="2"/>
  <c r="AW33" i="2" s="1"/>
  <c r="AX5" i="2"/>
  <c r="AX33" i="2" s="1"/>
  <c r="AY5" i="2"/>
  <c r="AZ5" i="2"/>
  <c r="BA5" i="2"/>
  <c r="AU6" i="2"/>
  <c r="AV6" i="2"/>
  <c r="AW6" i="2"/>
  <c r="AX6" i="2"/>
  <c r="AY6" i="2"/>
  <c r="AZ6" i="2"/>
  <c r="BA6" i="2"/>
  <c r="AU7" i="2"/>
  <c r="AV7" i="2"/>
  <c r="AW7" i="2"/>
  <c r="AX7" i="2"/>
  <c r="AY7" i="2"/>
  <c r="AY33" i="2" s="1"/>
  <c r="AZ7" i="2"/>
  <c r="AZ33" i="2" s="1"/>
  <c r="BA7" i="2"/>
  <c r="BA33" i="2" s="1"/>
  <c r="AU8" i="2"/>
  <c r="AV8" i="2"/>
  <c r="AW8" i="2"/>
  <c r="AX8" i="2"/>
  <c r="AY8" i="2"/>
  <c r="AZ8" i="2"/>
  <c r="BA8" i="2"/>
  <c r="AU9" i="2"/>
  <c r="AV9" i="2"/>
  <c r="AW9" i="2"/>
  <c r="AX9" i="2"/>
  <c r="AY9" i="2"/>
  <c r="AZ9" i="2"/>
  <c r="BA9" i="2"/>
  <c r="AU10" i="2"/>
  <c r="AV10" i="2"/>
  <c r="AW10" i="2"/>
  <c r="AX10" i="2"/>
  <c r="AY10" i="2"/>
  <c r="AZ10" i="2"/>
  <c r="BA10" i="2"/>
  <c r="AU11" i="2"/>
  <c r="AV11" i="2"/>
  <c r="AW11" i="2"/>
  <c r="AX11" i="2"/>
  <c r="AY11" i="2"/>
  <c r="AZ11" i="2"/>
  <c r="BA11" i="2"/>
  <c r="AU12" i="2"/>
  <c r="AV12" i="2"/>
  <c r="AW12" i="2"/>
  <c r="AX12" i="2"/>
  <c r="AY12" i="2"/>
  <c r="AZ12" i="2"/>
  <c r="BA12" i="2"/>
  <c r="AU13" i="2"/>
  <c r="AV13" i="2"/>
  <c r="AW13" i="2"/>
  <c r="AX13" i="2"/>
  <c r="AY13" i="2"/>
  <c r="AZ13" i="2"/>
  <c r="BA13" i="2"/>
  <c r="AU14" i="2"/>
  <c r="AV14" i="2"/>
  <c r="AW14" i="2"/>
  <c r="AX14" i="2"/>
  <c r="AY14" i="2"/>
  <c r="AZ14" i="2"/>
  <c r="BA14" i="2"/>
  <c r="AU15" i="2"/>
  <c r="AV15" i="2"/>
  <c r="AW15" i="2"/>
  <c r="AX15" i="2"/>
  <c r="AY15" i="2"/>
  <c r="AZ15" i="2"/>
  <c r="BA15" i="2"/>
  <c r="AU16" i="2"/>
  <c r="AV16" i="2"/>
  <c r="AW16" i="2"/>
  <c r="AX16" i="2"/>
  <c r="AY16" i="2"/>
  <c r="AZ16" i="2"/>
  <c r="BA16" i="2"/>
  <c r="AU17" i="2"/>
  <c r="AV17" i="2"/>
  <c r="AW17" i="2"/>
  <c r="AX17" i="2"/>
  <c r="AY17" i="2"/>
  <c r="AZ17" i="2"/>
  <c r="BA17" i="2"/>
  <c r="AU18" i="2"/>
  <c r="AV18" i="2"/>
  <c r="AW18" i="2"/>
  <c r="AX18" i="2"/>
  <c r="AY18" i="2"/>
  <c r="AZ18" i="2"/>
  <c r="BA18" i="2"/>
  <c r="AU19" i="2"/>
  <c r="AV19" i="2"/>
  <c r="AW19" i="2"/>
  <c r="AX19" i="2"/>
  <c r="AY19" i="2"/>
  <c r="AZ19" i="2"/>
  <c r="BA19" i="2"/>
  <c r="AV3" i="2"/>
  <c r="AW3" i="2"/>
  <c r="AX3" i="2"/>
  <c r="AY3" i="2"/>
  <c r="AZ3" i="2"/>
  <c r="BA3" i="2"/>
  <c r="AU3" i="2"/>
  <c r="AN12" i="3" l="1"/>
  <c r="AW12" i="3" s="1"/>
  <c r="BF12" i="3" s="1"/>
  <c r="BX12" i="3" s="1"/>
  <c r="AP8" i="3"/>
  <c r="AY8" i="3" s="1"/>
  <c r="BH8" i="3" s="1"/>
  <c r="BZ8" i="3" s="1"/>
  <c r="AM6" i="3"/>
  <c r="AV6" i="3" s="1"/>
  <c r="BN6" i="3" s="1"/>
  <c r="AN11" i="3"/>
  <c r="AW11" i="3" s="1"/>
  <c r="BF11" i="3" s="1"/>
  <c r="BX11" i="3" s="1"/>
  <c r="AN10" i="3"/>
  <c r="AW10" i="3" s="1"/>
  <c r="AN9" i="3"/>
  <c r="AW9" i="3" s="1"/>
  <c r="BF9" i="3" s="1"/>
  <c r="BX9" i="3" s="1"/>
  <c r="AN8" i="3"/>
  <c r="AW8" i="3" s="1"/>
  <c r="BO8" i="3" s="1"/>
  <c r="AR7" i="3"/>
  <c r="BA7" i="3" s="1"/>
  <c r="BJ7" i="3" s="1"/>
  <c r="CB7" i="3" s="1"/>
  <c r="AQ7" i="3"/>
  <c r="AZ7" i="3" s="1"/>
  <c r="BR7" i="3" s="1"/>
  <c r="AN7" i="3"/>
  <c r="AW7" i="3" s="1"/>
  <c r="AN6" i="3"/>
  <c r="AW6" i="3" s="1"/>
  <c r="AQ13" i="3"/>
  <c r="AZ13" i="3" s="1"/>
  <c r="BR13" i="3" s="1"/>
  <c r="AQ11" i="3"/>
  <c r="AZ11" i="3" s="1"/>
  <c r="BR11" i="3" s="1"/>
  <c r="AQ18" i="3"/>
  <c r="AZ18" i="3" s="1"/>
  <c r="BI18" i="3" s="1"/>
  <c r="CA18" i="3" s="1"/>
  <c r="AQ19" i="3"/>
  <c r="AZ19" i="3" s="1"/>
  <c r="BI19" i="3" s="1"/>
  <c r="CA19" i="3" s="1"/>
  <c r="AN20" i="3"/>
  <c r="AW20" i="3" s="1"/>
  <c r="AR34" i="3"/>
  <c r="BA34" i="3" s="1"/>
  <c r="BJ34" i="3" s="1"/>
  <c r="CB34" i="3" s="1"/>
  <c r="AR35" i="3"/>
  <c r="BA35" i="3" s="1"/>
  <c r="BS35" i="3" s="1"/>
  <c r="AQ32" i="3"/>
  <c r="AZ32" i="3" s="1"/>
  <c r="BI32" i="3" s="1"/>
  <c r="CA32" i="3" s="1"/>
  <c r="AQ35" i="3"/>
  <c r="AZ35" i="3" s="1"/>
  <c r="BR35" i="3" s="1"/>
  <c r="AN34" i="3"/>
  <c r="AW34" i="3" s="1"/>
  <c r="AN35" i="3"/>
  <c r="AW35" i="3" s="1"/>
  <c r="AR27" i="3"/>
  <c r="BA27" i="3" s="1"/>
  <c r="BJ27" i="3" s="1"/>
  <c r="CB27" i="3" s="1"/>
  <c r="AQ27" i="3"/>
  <c r="AZ27" i="3" s="1"/>
  <c r="BI27" i="3" s="1"/>
  <c r="CA27" i="3" s="1"/>
  <c r="AN27" i="3"/>
  <c r="AW27" i="3" s="1"/>
  <c r="AN26" i="3"/>
  <c r="AW26" i="3" s="1"/>
  <c r="AN30" i="3"/>
  <c r="AW30" i="3" s="1"/>
  <c r="AN25" i="3"/>
  <c r="AW25" i="3" s="1"/>
  <c r="AN24" i="3"/>
  <c r="AW24" i="3" s="1"/>
  <c r="AN23" i="3"/>
  <c r="AW23" i="3" s="1"/>
  <c r="AQ10" i="3"/>
  <c r="AZ10" i="3" s="1"/>
  <c r="BI10" i="3" s="1"/>
  <c r="CA10" i="3" s="1"/>
  <c r="AN28" i="3"/>
  <c r="AW28" i="3" s="1"/>
  <c r="AM20" i="3"/>
  <c r="AV20" i="3" s="1"/>
  <c r="BN20" i="3" s="1"/>
  <c r="AQ30" i="3"/>
  <c r="AZ30" i="3" s="1"/>
  <c r="BI30" i="3" s="1"/>
  <c r="CA30" i="3" s="1"/>
  <c r="AN19" i="3"/>
  <c r="AW19" i="3" s="1"/>
  <c r="AO31" i="3"/>
  <c r="AX31" i="3" s="1"/>
  <c r="BP31" i="3" s="1"/>
  <c r="AN18" i="3"/>
  <c r="AW18" i="3" s="1"/>
  <c r="AM31" i="3"/>
  <c r="AV31" i="3" s="1"/>
  <c r="BN31" i="3" s="1"/>
  <c r="AN33" i="3"/>
  <c r="AW33" i="3" s="1"/>
  <c r="AN17" i="3"/>
  <c r="AW17" i="3" s="1"/>
  <c r="AN32" i="3"/>
  <c r="AW32" i="3" s="1"/>
  <c r="AN16" i="3"/>
  <c r="AW16" i="3" s="1"/>
  <c r="AN31" i="3"/>
  <c r="AW31" i="3" s="1"/>
  <c r="AN15" i="3"/>
  <c r="AW15" i="3" s="1"/>
  <c r="AQ12" i="3"/>
  <c r="AZ12" i="3" s="1"/>
  <c r="AQ28" i="3"/>
  <c r="AZ28" i="3" s="1"/>
  <c r="BR28" i="3" s="1"/>
  <c r="AN14" i="3"/>
  <c r="AW14" i="3" s="1"/>
  <c r="AP13" i="3"/>
  <c r="AY13" i="3" s="1"/>
  <c r="BH13" i="3" s="1"/>
  <c r="BZ13" i="3" s="1"/>
  <c r="AN29" i="3"/>
  <c r="AW29" i="3" s="1"/>
  <c r="AN13" i="3"/>
  <c r="AW13" i="3" s="1"/>
  <c r="AO10" i="3"/>
  <c r="AX10" i="3" s="1"/>
  <c r="BG10" i="3" s="1"/>
  <c r="BY10" i="3" s="1"/>
  <c r="AN22" i="3"/>
  <c r="AW22" i="3" s="1"/>
  <c r="AN21" i="3"/>
  <c r="AW21" i="3" s="1"/>
  <c r="AP33" i="3"/>
  <c r="AY33" i="3" s="1"/>
  <c r="BQ33" i="3" s="1"/>
  <c r="AM12" i="3"/>
  <c r="AV12" i="3" s="1"/>
  <c r="BN12" i="3" s="1"/>
  <c r="AM8" i="3"/>
  <c r="AV8" i="3" s="1"/>
  <c r="BN8" i="3" s="1"/>
  <c r="AM11" i="3"/>
  <c r="AV11" i="3" s="1"/>
  <c r="BN11" i="3" s="1"/>
  <c r="AM10" i="3"/>
  <c r="AV10" i="3" s="1"/>
  <c r="BN10" i="3" s="1"/>
  <c r="AM9" i="3"/>
  <c r="AV9" i="3" s="1"/>
  <c r="BN9" i="3" s="1"/>
  <c r="AM27" i="3"/>
  <c r="AV27" i="3" s="1"/>
  <c r="BE27" i="3" s="1"/>
  <c r="BW27" i="3" s="1"/>
  <c r="AM13" i="3"/>
  <c r="AV13" i="3" s="1"/>
  <c r="BN13" i="3" s="1"/>
  <c r="AP19" i="3"/>
  <c r="AY19" i="3" s="1"/>
  <c r="BQ19" i="3" s="1"/>
  <c r="AP29" i="3"/>
  <c r="AY29" i="3" s="1"/>
  <c r="BH29" i="3" s="1"/>
  <c r="BZ29" i="3" s="1"/>
  <c r="AO29" i="3"/>
  <c r="AX29" i="3" s="1"/>
  <c r="BP29" i="3" s="1"/>
  <c r="AO33" i="3"/>
  <c r="AX33" i="3" s="1"/>
  <c r="BP33" i="3" s="1"/>
  <c r="AP32" i="3"/>
  <c r="AY32" i="3" s="1"/>
  <c r="BH32" i="3" s="1"/>
  <c r="BZ32" i="3" s="1"/>
  <c r="AO18" i="3"/>
  <c r="AX18" i="3" s="1"/>
  <c r="BG18" i="3" s="1"/>
  <c r="BY18" i="3" s="1"/>
  <c r="AO32" i="3"/>
  <c r="AX32" i="3" s="1"/>
  <c r="BG32" i="3" s="1"/>
  <c r="BY32" i="3" s="1"/>
  <c r="AP24" i="3"/>
  <c r="AY24" i="3" s="1"/>
  <c r="BQ24" i="3" s="1"/>
  <c r="AO24" i="3"/>
  <c r="AX24" i="3" s="1"/>
  <c r="BP24" i="3" s="1"/>
  <c r="BN7" i="3"/>
  <c r="BE7" i="3"/>
  <c r="BW7" i="3" s="1"/>
  <c r="BN35" i="3"/>
  <c r="BE35" i="3"/>
  <c r="BW35" i="3" s="1"/>
  <c r="AM24" i="3"/>
  <c r="AV24" i="3" s="1"/>
  <c r="AM25" i="3"/>
  <c r="AV25" i="3" s="1"/>
  <c r="AM26" i="3"/>
  <c r="AV26" i="3" s="1"/>
  <c r="AM23" i="3"/>
  <c r="AV23" i="3" s="1"/>
  <c r="AM29" i="3"/>
  <c r="AV29" i="3" s="1"/>
  <c r="AM22" i="3"/>
  <c r="AV22" i="3" s="1"/>
  <c r="AM28" i="3"/>
  <c r="AV28" i="3" s="1"/>
  <c r="AM21" i="3"/>
  <c r="AV21" i="3" s="1"/>
  <c r="AM30" i="3"/>
  <c r="AV30" i="3" s="1"/>
  <c r="AM19" i="3"/>
  <c r="AV19" i="3" s="1"/>
  <c r="AM33" i="3"/>
  <c r="AV33" i="3" s="1"/>
  <c r="AM18" i="3"/>
  <c r="AV18" i="3" s="1"/>
  <c r="AM32" i="3"/>
  <c r="AV32" i="3" s="1"/>
  <c r="AM17" i="3"/>
  <c r="AV17" i="3" s="1"/>
  <c r="AM16" i="3"/>
  <c r="AV16" i="3" s="1"/>
  <c r="AM34" i="3"/>
  <c r="AV34" i="3" s="1"/>
  <c r="AM15" i="3"/>
  <c r="AV15" i="3" s="1"/>
  <c r="AM14" i="3"/>
  <c r="AV14" i="3" s="1"/>
  <c r="AS35" i="3"/>
  <c r="BB35" i="3" s="1"/>
  <c r="BK35" i="3" s="1"/>
  <c r="CC35" i="3" s="1"/>
  <c r="AS24" i="3"/>
  <c r="BB24" i="3" s="1"/>
  <c r="BK24" i="3" s="1"/>
  <c r="CC24" i="3" s="1"/>
  <c r="AS30" i="3"/>
  <c r="BB30" i="3" s="1"/>
  <c r="BK30" i="3" s="1"/>
  <c r="CC30" i="3" s="1"/>
  <c r="AS26" i="3"/>
  <c r="BB26" i="3" s="1"/>
  <c r="BK26" i="3" s="1"/>
  <c r="CC26" i="3" s="1"/>
  <c r="AR24" i="3"/>
  <c r="BA24" i="3" s="1"/>
  <c r="BJ24" i="3" s="1"/>
  <c r="CB24" i="3" s="1"/>
  <c r="AQ34" i="3"/>
  <c r="AZ34" i="3" s="1"/>
  <c r="AQ26" i="3"/>
  <c r="AZ26" i="3" s="1"/>
  <c r="AR17" i="3"/>
  <c r="BA17" i="3" s="1"/>
  <c r="BS17" i="3" s="1"/>
  <c r="AQ17" i="3"/>
  <c r="AZ17" i="3" s="1"/>
  <c r="AQ25" i="3"/>
  <c r="AZ25" i="3" s="1"/>
  <c r="AR32" i="3"/>
  <c r="BA32" i="3" s="1"/>
  <c r="BJ32" i="3" s="1"/>
  <c r="CB32" i="3" s="1"/>
  <c r="AQ16" i="3"/>
  <c r="AZ16" i="3" s="1"/>
  <c r="AR15" i="3"/>
  <c r="BA15" i="3" s="1"/>
  <c r="BJ15" i="3" s="1"/>
  <c r="CB15" i="3" s="1"/>
  <c r="AQ15" i="3"/>
  <c r="AZ15" i="3" s="1"/>
  <c r="AQ31" i="3"/>
  <c r="AZ31" i="3" s="1"/>
  <c r="AQ14" i="3"/>
  <c r="AZ14" i="3" s="1"/>
  <c r="AQ22" i="3"/>
  <c r="AZ22" i="3" s="1"/>
  <c r="AR26" i="3"/>
  <c r="BA26" i="3" s="1"/>
  <c r="BJ26" i="3" s="1"/>
  <c r="CB26" i="3" s="1"/>
  <c r="AQ21" i="3"/>
  <c r="AZ21" i="3" s="1"/>
  <c r="AQ29" i="3"/>
  <c r="AZ29" i="3" s="1"/>
  <c r="AR12" i="3"/>
  <c r="BA12" i="3" s="1"/>
  <c r="AQ33" i="3"/>
  <c r="AZ33" i="3" s="1"/>
  <c r="AQ9" i="3"/>
  <c r="AZ9" i="3" s="1"/>
  <c r="CA6" i="3"/>
  <c r="AR25" i="3"/>
  <c r="BA25" i="3" s="1"/>
  <c r="BJ25" i="3" s="1"/>
  <c r="CB25" i="3" s="1"/>
  <c r="AQ8" i="3"/>
  <c r="AZ8" i="3" s="1"/>
  <c r="AR33" i="3"/>
  <c r="BA33" i="3" s="1"/>
  <c r="BJ33" i="3" s="1"/>
  <c r="CB33" i="3" s="1"/>
  <c r="AQ24" i="3"/>
  <c r="AZ24" i="3" s="1"/>
  <c r="AQ23" i="3"/>
  <c r="AZ23" i="3" s="1"/>
  <c r="AR22" i="3"/>
  <c r="BA22" i="3" s="1"/>
  <c r="BS22" i="3" s="1"/>
  <c r="BR6" i="3"/>
  <c r="AQ20" i="3"/>
  <c r="AZ20" i="3" s="1"/>
  <c r="BH34" i="3"/>
  <c r="BZ34" i="3" s="1"/>
  <c r="BQ34" i="3"/>
  <c r="BG34" i="3"/>
  <c r="BY34" i="3" s="1"/>
  <c r="BP34" i="3"/>
  <c r="AP28" i="3"/>
  <c r="AY28" i="3" s="1"/>
  <c r="AO19" i="3"/>
  <c r="AX19" i="3" s="1"/>
  <c r="AO28" i="3"/>
  <c r="AX28" i="3" s="1"/>
  <c r="AP14" i="3"/>
  <c r="AY14" i="3" s="1"/>
  <c r="AP23" i="3"/>
  <c r="AY23" i="3" s="1"/>
  <c r="AO14" i="3"/>
  <c r="AX14" i="3" s="1"/>
  <c r="AP9" i="3"/>
  <c r="AY9" i="3" s="1"/>
  <c r="AO23" i="3"/>
  <c r="AX23" i="3" s="1"/>
  <c r="AP18" i="3"/>
  <c r="AY18" i="3" s="1"/>
  <c r="AO9" i="3"/>
  <c r="AX9" i="3" s="1"/>
  <c r="AO27" i="3"/>
  <c r="AX27" i="3" s="1"/>
  <c r="AP31" i="3"/>
  <c r="AY31" i="3" s="1"/>
  <c r="AP17" i="3"/>
  <c r="AY17" i="3" s="1"/>
  <c r="AP26" i="3"/>
  <c r="AY26" i="3" s="1"/>
  <c r="AO17" i="3"/>
  <c r="AX17" i="3" s="1"/>
  <c r="AO26" i="3"/>
  <c r="AX26" i="3" s="1"/>
  <c r="AP12" i="3"/>
  <c r="AY12" i="3" s="1"/>
  <c r="AP35" i="3"/>
  <c r="AY35" i="3" s="1"/>
  <c r="AP21" i="3"/>
  <c r="AY21" i="3" s="1"/>
  <c r="AO12" i="3"/>
  <c r="AX12" i="3" s="1"/>
  <c r="AP7" i="3"/>
  <c r="AY7" i="3" s="1"/>
  <c r="AO35" i="3"/>
  <c r="AX35" i="3" s="1"/>
  <c r="AP30" i="3"/>
  <c r="AY30" i="3" s="1"/>
  <c r="AO21" i="3"/>
  <c r="AX21" i="3" s="1"/>
  <c r="AP16" i="3"/>
  <c r="AY16" i="3" s="1"/>
  <c r="AO7" i="3"/>
  <c r="AX7" i="3" s="1"/>
  <c r="AO30" i="3"/>
  <c r="AX30" i="3" s="1"/>
  <c r="AO16" i="3"/>
  <c r="AX16" i="3" s="1"/>
  <c r="AO22" i="3"/>
  <c r="AX22" i="3" s="1"/>
  <c r="AP25" i="3"/>
  <c r="AY25" i="3" s="1"/>
  <c r="AP11" i="3"/>
  <c r="AY11" i="3" s="1"/>
  <c r="AO13" i="3"/>
  <c r="AX13" i="3" s="1"/>
  <c r="AO25" i="3"/>
  <c r="AX25" i="3" s="1"/>
  <c r="AP20" i="3"/>
  <c r="AY20" i="3" s="1"/>
  <c r="AO11" i="3"/>
  <c r="AX11" i="3" s="1"/>
  <c r="AP6" i="3"/>
  <c r="AY6" i="3" s="1"/>
  <c r="AO20" i="3"/>
  <c r="AX20" i="3" s="1"/>
  <c r="AO6" i="3"/>
  <c r="AX6" i="3" s="1"/>
  <c r="AP22" i="3"/>
  <c r="AY22" i="3" s="1"/>
  <c r="AO8" i="3"/>
  <c r="AX8" i="3" s="1"/>
  <c r="AP15" i="3"/>
  <c r="AY15" i="3" s="1"/>
  <c r="AO15" i="3"/>
  <c r="AX15" i="3" s="1"/>
  <c r="AP10" i="3"/>
  <c r="AY10" i="3" s="1"/>
  <c r="AP27" i="3"/>
  <c r="AY27" i="3" s="1"/>
  <c r="BK6" i="3"/>
  <c r="BT6" i="3"/>
  <c r="BT34" i="3"/>
  <c r="BK34" i="3"/>
  <c r="CC34" i="3" s="1"/>
  <c r="BJ6" i="3"/>
  <c r="BS6" i="3"/>
  <c r="AR29" i="3"/>
  <c r="BA29" i="3" s="1"/>
  <c r="AR19" i="3"/>
  <c r="BA19" i="3" s="1"/>
  <c r="AR9" i="3"/>
  <c r="BA9" i="3" s="1"/>
  <c r="AS29" i="3"/>
  <c r="BB29" i="3" s="1"/>
  <c r="AS19" i="3"/>
  <c r="BB19" i="3" s="1"/>
  <c r="AS9" i="3"/>
  <c r="BB9" i="3" s="1"/>
  <c r="AS32" i="3"/>
  <c r="BB32" i="3" s="1"/>
  <c r="AS22" i="3"/>
  <c r="BB22" i="3" s="1"/>
  <c r="AS12" i="3"/>
  <c r="BB12" i="3" s="1"/>
  <c r="AR28" i="3"/>
  <c r="BA28" i="3" s="1"/>
  <c r="AR18" i="3"/>
  <c r="BA18" i="3" s="1"/>
  <c r="AR8" i="3"/>
  <c r="BA8" i="3" s="1"/>
  <c r="AS25" i="3"/>
  <c r="BB25" i="3" s="1"/>
  <c r="AS15" i="3"/>
  <c r="BB15" i="3" s="1"/>
  <c r="AS28" i="3"/>
  <c r="BB28" i="3" s="1"/>
  <c r="AS8" i="3"/>
  <c r="BB8" i="3" s="1"/>
  <c r="AS11" i="3"/>
  <c r="BB11" i="3" s="1"/>
  <c r="AR21" i="3"/>
  <c r="BA21" i="3" s="1"/>
  <c r="AS18" i="3"/>
  <c r="BB18" i="3" s="1"/>
  <c r="AS31" i="3"/>
  <c r="BB31" i="3" s="1"/>
  <c r="AS21" i="3"/>
  <c r="BB21" i="3" s="1"/>
  <c r="AR31" i="3"/>
  <c r="BA31" i="3" s="1"/>
  <c r="AR11" i="3"/>
  <c r="BA11" i="3" s="1"/>
  <c r="AS14" i="3"/>
  <c r="BB14" i="3" s="1"/>
  <c r="AR14" i="3"/>
  <c r="BA14" i="3" s="1"/>
  <c r="AS27" i="3"/>
  <c r="BB27" i="3" s="1"/>
  <c r="AS17" i="3"/>
  <c r="BB17" i="3" s="1"/>
  <c r="AS7" i="3"/>
  <c r="BB7" i="3" s="1"/>
  <c r="AR30" i="3"/>
  <c r="BA30" i="3" s="1"/>
  <c r="AR20" i="3"/>
  <c r="BA20" i="3" s="1"/>
  <c r="AR10" i="3"/>
  <c r="BA10" i="3" s="1"/>
  <c r="AS33" i="3"/>
  <c r="BB33" i="3" s="1"/>
  <c r="AS23" i="3"/>
  <c r="BB23" i="3" s="1"/>
  <c r="AS13" i="3"/>
  <c r="BB13" i="3" s="1"/>
  <c r="AS20" i="3"/>
  <c r="BB20" i="3" s="1"/>
  <c r="AS10" i="3"/>
  <c r="BB10" i="3" s="1"/>
  <c r="AR23" i="3"/>
  <c r="BA23" i="3" s="1"/>
  <c r="AR13" i="3"/>
  <c r="BA13" i="3" s="1"/>
  <c r="AS16" i="3"/>
  <c r="BB16" i="3" s="1"/>
  <c r="AR16" i="3"/>
  <c r="BA16" i="3" s="1"/>
  <c r="AD36" i="3"/>
  <c r="AG36" i="3"/>
  <c r="AJ36" i="3"/>
  <c r="AH36" i="3"/>
  <c r="AF36" i="3"/>
  <c r="AE36" i="3"/>
  <c r="AI36" i="3"/>
  <c r="AA36" i="3"/>
  <c r="Z36" i="3"/>
  <c r="Y36" i="3"/>
  <c r="U36" i="3"/>
  <c r="X36" i="3"/>
  <c r="W36" i="3"/>
  <c r="I62" i="4"/>
  <c r="H62" i="4"/>
  <c r="G62" i="4"/>
  <c r="M62" i="4"/>
  <c r="L62" i="4"/>
  <c r="K62" i="4"/>
  <c r="J62" i="4"/>
  <c r="AU33" i="2"/>
  <c r="BE6" i="3" l="1"/>
  <c r="BW6" i="3" s="1"/>
  <c r="BG29" i="3"/>
  <c r="BY29" i="3" s="1"/>
  <c r="BE31" i="3"/>
  <c r="BW31" i="3" s="1"/>
  <c r="BI13" i="3"/>
  <c r="CA13" i="3" s="1"/>
  <c r="BI7" i="3"/>
  <c r="CA7" i="3" s="1"/>
  <c r="BO12" i="3"/>
  <c r="BI28" i="3"/>
  <c r="CA28" i="3" s="1"/>
  <c r="BE10" i="3"/>
  <c r="BW10" i="3" s="1"/>
  <c r="BE9" i="3"/>
  <c r="BW9" i="3" s="1"/>
  <c r="BS32" i="3"/>
  <c r="BS27" i="3"/>
  <c r="BO9" i="3"/>
  <c r="BF8" i="3"/>
  <c r="BX8" i="3" s="1"/>
  <c r="BR27" i="3"/>
  <c r="BE13" i="3"/>
  <c r="BW13" i="3" s="1"/>
  <c r="BO11" i="3"/>
  <c r="BI11" i="3"/>
  <c r="CA11" i="3" s="1"/>
  <c r="BQ8" i="3"/>
  <c r="BS33" i="3"/>
  <c r="BP10" i="3"/>
  <c r="BS34" i="3"/>
  <c r="BS24" i="3"/>
  <c r="BO6" i="3"/>
  <c r="BF6" i="3"/>
  <c r="BX6" i="3" s="1"/>
  <c r="BF7" i="3"/>
  <c r="BX7" i="3" s="1"/>
  <c r="BO7" i="3"/>
  <c r="BE11" i="3"/>
  <c r="BW11" i="3" s="1"/>
  <c r="BR19" i="3"/>
  <c r="BS7" i="3"/>
  <c r="BR10" i="3"/>
  <c r="BF10" i="3"/>
  <c r="BX10" i="3" s="1"/>
  <c r="BO10" i="3"/>
  <c r="BF34" i="3"/>
  <c r="BX34" i="3" s="1"/>
  <c r="BO34" i="3"/>
  <c r="BJ35" i="3"/>
  <c r="CB35" i="3" s="1"/>
  <c r="BO20" i="3"/>
  <c r="BF20" i="3"/>
  <c r="BX20" i="3" s="1"/>
  <c r="BE12" i="3"/>
  <c r="BW12" i="3" s="1"/>
  <c r="BO15" i="3"/>
  <c r="BF15" i="3"/>
  <c r="BX15" i="3" s="1"/>
  <c r="BF26" i="3"/>
  <c r="BX26" i="3" s="1"/>
  <c r="BO26" i="3"/>
  <c r="BE20" i="3"/>
  <c r="BW20" i="3" s="1"/>
  <c r="BF31" i="3"/>
  <c r="BX31" i="3" s="1"/>
  <c r="BO31" i="3"/>
  <c r="BO16" i="3"/>
  <c r="BF16" i="3"/>
  <c r="BX16" i="3" s="1"/>
  <c r="BF27" i="3"/>
  <c r="BX27" i="3" s="1"/>
  <c r="BO27" i="3"/>
  <c r="BR32" i="3"/>
  <c r="BF32" i="3"/>
  <c r="BX32" i="3" s="1"/>
  <c r="BO32" i="3"/>
  <c r="BH24" i="3"/>
  <c r="BZ24" i="3" s="1"/>
  <c r="BO17" i="3"/>
  <c r="BF17" i="3"/>
  <c r="BX17" i="3" s="1"/>
  <c r="BF33" i="3"/>
  <c r="BX33" i="3" s="1"/>
  <c r="BO33" i="3"/>
  <c r="BR18" i="3"/>
  <c r="BO35" i="3"/>
  <c r="BF35" i="3"/>
  <c r="BX35" i="3" s="1"/>
  <c r="BO18" i="3"/>
  <c r="BF18" i="3"/>
  <c r="BX18" i="3" s="1"/>
  <c r="BE8" i="3"/>
  <c r="BW8" i="3" s="1"/>
  <c r="BO19" i="3"/>
  <c r="BF19" i="3"/>
  <c r="BX19" i="3" s="1"/>
  <c r="AN36" i="3"/>
  <c r="BO21" i="3"/>
  <c r="BF21" i="3"/>
  <c r="BX21" i="3" s="1"/>
  <c r="BO22" i="3"/>
  <c r="BF22" i="3"/>
  <c r="BX22" i="3" s="1"/>
  <c r="BF28" i="3"/>
  <c r="BX28" i="3" s="1"/>
  <c r="BO28" i="3"/>
  <c r="BI35" i="3"/>
  <c r="CA35" i="3" s="1"/>
  <c r="BG31" i="3"/>
  <c r="BY31" i="3" s="1"/>
  <c r="BF13" i="3"/>
  <c r="BO13" i="3"/>
  <c r="BO23" i="3"/>
  <c r="BF23" i="3"/>
  <c r="BX23" i="3" s="1"/>
  <c r="BJ22" i="3"/>
  <c r="CB22" i="3" s="1"/>
  <c r="BF29" i="3"/>
  <c r="BX29" i="3" s="1"/>
  <c r="BO29" i="3"/>
  <c r="BP32" i="3"/>
  <c r="BF24" i="3"/>
  <c r="BX24" i="3" s="1"/>
  <c r="BO24" i="3"/>
  <c r="BR30" i="3"/>
  <c r="BF14" i="3"/>
  <c r="BX14" i="3" s="1"/>
  <c r="BO14" i="3"/>
  <c r="AW36" i="3"/>
  <c r="BS15" i="3"/>
  <c r="BH33" i="3"/>
  <c r="BZ33" i="3" s="1"/>
  <c r="BF25" i="3"/>
  <c r="BX25" i="3" s="1"/>
  <c r="BO25" i="3"/>
  <c r="BJ17" i="3"/>
  <c r="CB17" i="3" s="1"/>
  <c r="BQ13" i="3"/>
  <c r="BF30" i="3"/>
  <c r="BX30" i="3" s="1"/>
  <c r="BO30" i="3"/>
  <c r="BN27" i="3"/>
  <c r="BG24" i="3"/>
  <c r="BY24" i="3" s="1"/>
  <c r="BQ29" i="3"/>
  <c r="BH19" i="3"/>
  <c r="BZ19" i="3" s="1"/>
  <c r="BG33" i="3"/>
  <c r="BY33" i="3" s="1"/>
  <c r="BP18" i="3"/>
  <c r="BQ32" i="3"/>
  <c r="BN29" i="3"/>
  <c r="BE29" i="3"/>
  <c r="BW29" i="3" s="1"/>
  <c r="BN23" i="3"/>
  <c r="BE23" i="3"/>
  <c r="BW23" i="3" s="1"/>
  <c r="BE14" i="3"/>
  <c r="BW14" i="3" s="1"/>
  <c r="BN14" i="3"/>
  <c r="BN15" i="3"/>
  <c r="BE15" i="3"/>
  <c r="BW15" i="3" s="1"/>
  <c r="BE34" i="3"/>
  <c r="BW34" i="3" s="1"/>
  <c r="BN34" i="3"/>
  <c r="BN16" i="3"/>
  <c r="BE16" i="3"/>
  <c r="BW16" i="3" s="1"/>
  <c r="BN17" i="3"/>
  <c r="BE17" i="3"/>
  <c r="BW17" i="3" s="1"/>
  <c r="BE32" i="3"/>
  <c r="BW32" i="3" s="1"/>
  <c r="BN32" i="3"/>
  <c r="BN18" i="3"/>
  <c r="BE18" i="3"/>
  <c r="BW18" i="3" s="1"/>
  <c r="AV36" i="3"/>
  <c r="BN33" i="3"/>
  <c r="BE33" i="3"/>
  <c r="BW33" i="3" s="1"/>
  <c r="BN19" i="3"/>
  <c r="BE19" i="3"/>
  <c r="BW19" i="3" s="1"/>
  <c r="BN30" i="3"/>
  <c r="BE30" i="3"/>
  <c r="BW30" i="3" s="1"/>
  <c r="BN21" i="3"/>
  <c r="BE21" i="3"/>
  <c r="BW21" i="3" s="1"/>
  <c r="BN28" i="3"/>
  <c r="BE28" i="3"/>
  <c r="BW28" i="3" s="1"/>
  <c r="BE22" i="3"/>
  <c r="BW22" i="3" s="1"/>
  <c r="BN22" i="3"/>
  <c r="BN26" i="3"/>
  <c r="BE26" i="3"/>
  <c r="BW26" i="3" s="1"/>
  <c r="BN25" i="3"/>
  <c r="BE25" i="3"/>
  <c r="BW25" i="3" s="1"/>
  <c r="AM36" i="3"/>
  <c r="BE24" i="3"/>
  <c r="BW24" i="3" s="1"/>
  <c r="BN24" i="3"/>
  <c r="BT30" i="3"/>
  <c r="BT35" i="3"/>
  <c r="BT24" i="3"/>
  <c r="BT26" i="3"/>
  <c r="BR9" i="3"/>
  <c r="BI9" i="3"/>
  <c r="CA9" i="3" s="1"/>
  <c r="BR34" i="3"/>
  <c r="BI34" i="3"/>
  <c r="CA34" i="3" s="1"/>
  <c r="BR22" i="3"/>
  <c r="BI22" i="3"/>
  <c r="CA22" i="3" s="1"/>
  <c r="BI26" i="3"/>
  <c r="CA26" i="3" s="1"/>
  <c r="BR26" i="3"/>
  <c r="BI33" i="3"/>
  <c r="CA33" i="3" s="1"/>
  <c r="BR33" i="3"/>
  <c r="BS25" i="3"/>
  <c r="BR29" i="3"/>
  <c r="BI29" i="3"/>
  <c r="CA29" i="3" s="1"/>
  <c r="BR21" i="3"/>
  <c r="BI21" i="3"/>
  <c r="CA21" i="3" s="1"/>
  <c r="AZ36" i="3"/>
  <c r="BR12" i="3"/>
  <c r="BI12" i="3"/>
  <c r="CA12" i="3" s="1"/>
  <c r="BI14" i="3"/>
  <c r="CA14" i="3" s="1"/>
  <c r="BR14" i="3"/>
  <c r="BR31" i="3"/>
  <c r="BI31" i="3"/>
  <c r="CA31" i="3" s="1"/>
  <c r="BR15" i="3"/>
  <c r="BI15" i="3"/>
  <c r="CA15" i="3" s="1"/>
  <c r="BS26" i="3"/>
  <c r="BI20" i="3"/>
  <c r="CA20" i="3" s="1"/>
  <c r="BR20" i="3"/>
  <c r="BR16" i="3"/>
  <c r="BI16" i="3"/>
  <c r="CA16" i="3" s="1"/>
  <c r="BR23" i="3"/>
  <c r="BI23" i="3"/>
  <c r="CA23" i="3" s="1"/>
  <c r="BI25" i="3"/>
  <c r="CA25" i="3" s="1"/>
  <c r="BR25" i="3"/>
  <c r="BR24" i="3"/>
  <c r="BI24" i="3"/>
  <c r="CA24" i="3" s="1"/>
  <c r="BI17" i="3"/>
  <c r="CA17" i="3" s="1"/>
  <c r="BR17" i="3"/>
  <c r="AQ36" i="3"/>
  <c r="BI8" i="3"/>
  <c r="CA8" i="3" s="1"/>
  <c r="BR8" i="3"/>
  <c r="BH18" i="3"/>
  <c r="BZ18" i="3" s="1"/>
  <c r="BQ18" i="3"/>
  <c r="BH20" i="3"/>
  <c r="BZ20" i="3" s="1"/>
  <c r="BQ20" i="3"/>
  <c r="BG26" i="3"/>
  <c r="BY26" i="3" s="1"/>
  <c r="BP26" i="3"/>
  <c r="BG25" i="3"/>
  <c r="BY25" i="3" s="1"/>
  <c r="BP25" i="3"/>
  <c r="BG17" i="3"/>
  <c r="BY17" i="3" s="1"/>
  <c r="BP17" i="3"/>
  <c r="BP13" i="3"/>
  <c r="BG13" i="3"/>
  <c r="BY13" i="3" s="1"/>
  <c r="BH26" i="3"/>
  <c r="BZ26" i="3" s="1"/>
  <c r="BQ26" i="3"/>
  <c r="BQ11" i="3"/>
  <c r="BH11" i="3"/>
  <c r="BZ11" i="3" s="1"/>
  <c r="BH17" i="3"/>
  <c r="BZ17" i="3" s="1"/>
  <c r="BQ17" i="3"/>
  <c r="BH25" i="3"/>
  <c r="BZ25" i="3" s="1"/>
  <c r="BQ25" i="3"/>
  <c r="BQ31" i="3"/>
  <c r="BH31" i="3"/>
  <c r="BZ31" i="3" s="1"/>
  <c r="AP36" i="3"/>
  <c r="BG22" i="3"/>
  <c r="BY22" i="3" s="1"/>
  <c r="BP22" i="3"/>
  <c r="AO36" i="3"/>
  <c r="BG16" i="3"/>
  <c r="BY16" i="3" s="1"/>
  <c r="BP16" i="3"/>
  <c r="BP27" i="3"/>
  <c r="BG27" i="3"/>
  <c r="BY27" i="3" s="1"/>
  <c r="BG30" i="3"/>
  <c r="BY30" i="3" s="1"/>
  <c r="BP30" i="3"/>
  <c r="BP9" i="3"/>
  <c r="BG9" i="3"/>
  <c r="BY9" i="3" s="1"/>
  <c r="BP7" i="3"/>
  <c r="BG7" i="3"/>
  <c r="BY7" i="3" s="1"/>
  <c r="BP23" i="3"/>
  <c r="BG23" i="3"/>
  <c r="BY23" i="3" s="1"/>
  <c r="BQ27" i="3"/>
  <c r="BH27" i="3"/>
  <c r="BZ27" i="3" s="1"/>
  <c r="BH16" i="3"/>
  <c r="BZ16" i="3" s="1"/>
  <c r="BQ16" i="3"/>
  <c r="BH10" i="3"/>
  <c r="BZ10" i="3" s="1"/>
  <c r="BQ10" i="3"/>
  <c r="BP21" i="3"/>
  <c r="BG21" i="3"/>
  <c r="BY21" i="3" s="1"/>
  <c r="BQ9" i="3"/>
  <c r="BH9" i="3"/>
  <c r="BZ9" i="3" s="1"/>
  <c r="BP15" i="3"/>
  <c r="BG15" i="3"/>
  <c r="BY15" i="3" s="1"/>
  <c r="BH30" i="3"/>
  <c r="BZ30" i="3" s="1"/>
  <c r="BQ30" i="3"/>
  <c r="BG14" i="3"/>
  <c r="BY14" i="3" s="1"/>
  <c r="BP14" i="3"/>
  <c r="BQ15" i="3"/>
  <c r="BH15" i="3"/>
  <c r="BZ15" i="3" s="1"/>
  <c r="BP35" i="3"/>
  <c r="BG35" i="3"/>
  <c r="BY35" i="3" s="1"/>
  <c r="BQ23" i="3"/>
  <c r="BH23" i="3"/>
  <c r="BZ23" i="3" s="1"/>
  <c r="BG8" i="3"/>
  <c r="BY8" i="3" s="1"/>
  <c r="BP8" i="3"/>
  <c r="BH14" i="3"/>
  <c r="BZ14" i="3" s="1"/>
  <c r="BQ14" i="3"/>
  <c r="BH22" i="3"/>
  <c r="BZ22" i="3" s="1"/>
  <c r="BQ22" i="3"/>
  <c r="BQ7" i="3"/>
  <c r="BH7" i="3"/>
  <c r="BZ7" i="3" s="1"/>
  <c r="BG28" i="3"/>
  <c r="BY28" i="3" s="1"/>
  <c r="BP28" i="3"/>
  <c r="BG6" i="3"/>
  <c r="BP6" i="3"/>
  <c r="AX36" i="3"/>
  <c r="BG12" i="3"/>
  <c r="BY12" i="3" s="1"/>
  <c r="BP12" i="3"/>
  <c r="BP19" i="3"/>
  <c r="BG19" i="3"/>
  <c r="BY19" i="3" s="1"/>
  <c r="BG20" i="3"/>
  <c r="BY20" i="3" s="1"/>
  <c r="BP20" i="3"/>
  <c r="BQ21" i="3"/>
  <c r="BH21" i="3"/>
  <c r="BZ21" i="3" s="1"/>
  <c r="BH28" i="3"/>
  <c r="BZ28" i="3" s="1"/>
  <c r="BQ28" i="3"/>
  <c r="BH6" i="3"/>
  <c r="BQ6" i="3"/>
  <c r="AY36" i="3"/>
  <c r="BQ35" i="3"/>
  <c r="BH35" i="3"/>
  <c r="BZ35" i="3" s="1"/>
  <c r="BP11" i="3"/>
  <c r="BG11" i="3"/>
  <c r="BY11" i="3" s="1"/>
  <c r="BH12" i="3"/>
  <c r="BZ12" i="3" s="1"/>
  <c r="BQ12" i="3"/>
  <c r="BT33" i="3"/>
  <c r="BK33" i="3"/>
  <c r="CC33" i="3" s="1"/>
  <c r="CC6" i="3"/>
  <c r="BJ8" i="3"/>
  <c r="CB8" i="3" s="1"/>
  <c r="BS8" i="3"/>
  <c r="BJ12" i="3"/>
  <c r="CB12" i="3" s="1"/>
  <c r="BS12" i="3"/>
  <c r="BJ18" i="3"/>
  <c r="CB18" i="3" s="1"/>
  <c r="BS18" i="3"/>
  <c r="BJ28" i="3"/>
  <c r="CB28" i="3" s="1"/>
  <c r="BS28" i="3"/>
  <c r="BA36" i="3"/>
  <c r="BK7" i="3"/>
  <c r="CC7" i="3" s="1"/>
  <c r="BT7" i="3"/>
  <c r="AS36" i="3"/>
  <c r="BK22" i="3"/>
  <c r="CC22" i="3" s="1"/>
  <c r="BT22" i="3"/>
  <c r="BK9" i="3"/>
  <c r="CC9" i="3" s="1"/>
  <c r="BT9" i="3"/>
  <c r="BT19" i="3"/>
  <c r="BK19" i="3"/>
  <c r="CC19" i="3" s="1"/>
  <c r="BK29" i="3"/>
  <c r="CC29" i="3" s="1"/>
  <c r="BT29" i="3"/>
  <c r="BK31" i="3"/>
  <c r="CC31" i="3" s="1"/>
  <c r="BT31" i="3"/>
  <c r="BJ19" i="3"/>
  <c r="CB19" i="3" s="1"/>
  <c r="BS19" i="3"/>
  <c r="BJ21" i="3"/>
  <c r="CB21" i="3" s="1"/>
  <c r="BS21" i="3"/>
  <c r="BK11" i="3"/>
  <c r="CC11" i="3" s="1"/>
  <c r="BT11" i="3"/>
  <c r="BK13" i="3"/>
  <c r="CC13" i="3" s="1"/>
  <c r="BT13" i="3"/>
  <c r="BJ30" i="3"/>
  <c r="CB30" i="3" s="1"/>
  <c r="BS30" i="3"/>
  <c r="BT17" i="3"/>
  <c r="BK17" i="3"/>
  <c r="CC17" i="3" s="1"/>
  <c r="CB6" i="3"/>
  <c r="BK27" i="3"/>
  <c r="CC27" i="3" s="1"/>
  <c r="BT27" i="3"/>
  <c r="BK12" i="3"/>
  <c r="CC12" i="3" s="1"/>
  <c r="BT12" i="3"/>
  <c r="BJ14" i="3"/>
  <c r="CB14" i="3" s="1"/>
  <c r="BS14" i="3"/>
  <c r="AR36" i="3"/>
  <c r="BJ16" i="3"/>
  <c r="CB16" i="3" s="1"/>
  <c r="BS16" i="3"/>
  <c r="BT14" i="3"/>
  <c r="BK14" i="3"/>
  <c r="CC14" i="3" s="1"/>
  <c r="BK32" i="3"/>
  <c r="CC32" i="3" s="1"/>
  <c r="BT32" i="3"/>
  <c r="BT16" i="3"/>
  <c r="BK16" i="3"/>
  <c r="CC16" i="3" s="1"/>
  <c r="BJ11" i="3"/>
  <c r="CB11" i="3" s="1"/>
  <c r="BS11" i="3"/>
  <c r="BJ13" i="3"/>
  <c r="CB13" i="3" s="1"/>
  <c r="BS13" i="3"/>
  <c r="BJ31" i="3"/>
  <c r="CB31" i="3" s="1"/>
  <c r="BS31" i="3"/>
  <c r="BS23" i="3"/>
  <c r="BJ23" i="3"/>
  <c r="CB23" i="3" s="1"/>
  <c r="BK21" i="3"/>
  <c r="CC21" i="3" s="1"/>
  <c r="BT21" i="3"/>
  <c r="BJ9" i="3"/>
  <c r="CB9" i="3" s="1"/>
  <c r="BS9" i="3"/>
  <c r="BK10" i="3"/>
  <c r="CC10" i="3" s="1"/>
  <c r="BT10" i="3"/>
  <c r="BK18" i="3"/>
  <c r="CC18" i="3" s="1"/>
  <c r="BT18" i="3"/>
  <c r="BT20" i="3"/>
  <c r="BK20" i="3"/>
  <c r="CC20" i="3" s="1"/>
  <c r="BJ29" i="3"/>
  <c r="CB29" i="3" s="1"/>
  <c r="BS29" i="3"/>
  <c r="BK8" i="3"/>
  <c r="CC8" i="3" s="1"/>
  <c r="BT8" i="3"/>
  <c r="BB36" i="3"/>
  <c r="BK23" i="3"/>
  <c r="CC23" i="3" s="1"/>
  <c r="BT23" i="3"/>
  <c r="BK28" i="3"/>
  <c r="CC28" i="3" s="1"/>
  <c r="BT28" i="3"/>
  <c r="BK15" i="3"/>
  <c r="CC15" i="3" s="1"/>
  <c r="BT15" i="3"/>
  <c r="BJ10" i="3"/>
  <c r="CB10" i="3" s="1"/>
  <c r="BS10" i="3"/>
  <c r="BK25" i="3"/>
  <c r="CC25" i="3" s="1"/>
  <c r="BT25" i="3"/>
  <c r="BS20" i="3"/>
  <c r="BJ20" i="3"/>
  <c r="CB20" i="3" s="1"/>
  <c r="BD3" i="2"/>
  <c r="BO36" i="3" l="1"/>
  <c r="BN36" i="3"/>
  <c r="CA36" i="3"/>
  <c r="CA37" i="3" s="1"/>
  <c r="BX13" i="3"/>
  <c r="BX36" i="3" s="1"/>
  <c r="BX37" i="3" s="1"/>
  <c r="BF36" i="3"/>
  <c r="BW36" i="3"/>
  <c r="BW37" i="3" s="1"/>
  <c r="BE36" i="3"/>
  <c r="BT36" i="3"/>
  <c r="BR36" i="3"/>
  <c r="BI36" i="3"/>
  <c r="BP36" i="3"/>
  <c r="BG36" i="3"/>
  <c r="BY6" i="3"/>
  <c r="BY36" i="3" s="1"/>
  <c r="BY37" i="3" s="1"/>
  <c r="BQ36" i="3"/>
  <c r="BH36" i="3"/>
  <c r="BZ6" i="3"/>
  <c r="BZ36" i="3" s="1"/>
  <c r="BZ37" i="3" s="1"/>
  <c r="BK36" i="3"/>
  <c r="BJ36" i="3"/>
  <c r="CB36" i="3"/>
  <c r="BS36" i="3"/>
  <c r="CC36" i="3"/>
  <c r="CC37" i="3" s="1"/>
  <c r="BW38" i="3" l="1"/>
  <c r="CB37" i="3"/>
</calcChain>
</file>

<file path=xl/sharedStrings.xml><?xml version="1.0" encoding="utf-8"?>
<sst xmlns="http://schemas.openxmlformats.org/spreadsheetml/2006/main" count="675" uniqueCount="38">
  <si>
    <t>Sun</t>
  </si>
  <si>
    <t>Mon</t>
  </si>
  <si>
    <t>Tue</t>
  </si>
  <si>
    <t>Wed</t>
  </si>
  <si>
    <t>Thu</t>
  </si>
  <si>
    <t>Fri</t>
  </si>
  <si>
    <t>Sat</t>
  </si>
  <si>
    <t>Intervals</t>
  </si>
  <si>
    <t>Total</t>
  </si>
  <si>
    <t>percentage per week</t>
  </si>
  <si>
    <t>Arraivals for last 6 weeks</t>
  </si>
  <si>
    <t>Avg of Arrivals for last 6 weeks</t>
  </si>
  <si>
    <t>Percentage for AVG of arrivals for last 6 weeks</t>
  </si>
  <si>
    <t>Call Arrival Pattern</t>
  </si>
  <si>
    <t>Distribution</t>
  </si>
  <si>
    <t>Forecast</t>
  </si>
  <si>
    <t>Calls</t>
  </si>
  <si>
    <t>AHT</t>
  </si>
  <si>
    <t>Occ</t>
  </si>
  <si>
    <t>Requirment</t>
  </si>
  <si>
    <t>S.No.</t>
  </si>
  <si>
    <t>Employee ID</t>
  </si>
  <si>
    <t>Employee Name</t>
  </si>
  <si>
    <t>Supervisor</t>
  </si>
  <si>
    <t>Shift Start Time</t>
  </si>
  <si>
    <t>Schedule</t>
  </si>
  <si>
    <t>WO</t>
  </si>
  <si>
    <t>P</t>
  </si>
  <si>
    <t>-</t>
  </si>
  <si>
    <t>Shift</t>
  </si>
  <si>
    <t xml:space="preserve">  </t>
  </si>
  <si>
    <t>Schedule Post Shrinkage</t>
  </si>
  <si>
    <t>Call Capacity</t>
  </si>
  <si>
    <t>Staffing Over/Under</t>
  </si>
  <si>
    <t>Capacity Over/Under</t>
  </si>
  <si>
    <t>SL</t>
  </si>
  <si>
    <t>Week SL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</si>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</sst>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0.7999816888943144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5" fontId="2" fillId="4" borderId="9" xfId="0" applyNumberFormat="1" applyFont="1" applyFill="1" applyBorder="1"/>
    <xf numFmtId="15" fontId="2" fillId="4" borderId="10" xfId="0" applyNumberFormat="1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2" fillId="4" borderId="9" xfId="0" applyNumberFormat="1" applyFont="1" applyFill="1" applyBorder="1" applyAlignment="1">
      <alignment horizontal="center" vertical="center"/>
    </xf>
    <xf numFmtId="15" fontId="2" fillId="4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5" fontId="6" fillId="8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20" fontId="7" fillId="10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20" fontId="7" fillId="10" borderId="19" xfId="0" applyNumberFormat="1" applyFont="1" applyFill="1" applyBorder="1" applyAlignment="1">
      <alignment horizontal="center" vertical="center"/>
    </xf>
    <xf numFmtId="20" fontId="7" fillId="10" borderId="20" xfId="0" applyNumberFormat="1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0" xfId="0" applyNumberForma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5" fontId="6" fillId="9" borderId="14" xfId="0" applyNumberFormat="1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2D8F-A88D-44E9-9D15-243A88FDE855}">
  <dimension ref="B1:BJ34"/>
  <sheetViews>
    <sheetView showGridLines="0" topLeftCell="AB1" workbookViewId="0">
      <selection activeCell="BK21" sqref="BK21"/>
    </sheetView>
  </sheetViews>
  <sheetFormatPr defaultRowHeight="14.4" x14ac:dyDescent="0.3"/>
  <cols>
    <col min="2" max="2" width="8.33203125" bestFit="1" customWidth="1"/>
    <col min="3" max="36" width="5" bestFit="1" customWidth="1"/>
    <col min="37" max="37" width="4" bestFit="1" customWidth="1"/>
    <col min="38" max="44" width="5" bestFit="1" customWidth="1"/>
    <col min="46" max="46" width="18.6640625" bestFit="1" customWidth="1"/>
    <col min="47" max="53" width="5" bestFit="1" customWidth="1"/>
    <col min="55" max="55" width="8.33203125" bestFit="1" customWidth="1"/>
    <col min="56" max="62" width="5.44140625" bestFit="1" customWidth="1"/>
  </cols>
  <sheetData>
    <row r="1" spans="2:62" ht="16.2" thickBot="1" x14ac:dyDescent="0.35">
      <c r="B1" s="50" t="s">
        <v>10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T1" s="50" t="s">
        <v>11</v>
      </c>
      <c r="AU1" s="50"/>
      <c r="AV1" s="50"/>
      <c r="AW1" s="50"/>
      <c r="AX1" s="50"/>
      <c r="AY1" s="50"/>
      <c r="AZ1" s="50"/>
      <c r="BA1" s="50"/>
      <c r="BC1" s="50" t="s">
        <v>12</v>
      </c>
      <c r="BD1" s="50"/>
      <c r="BE1" s="50"/>
      <c r="BF1" s="50"/>
      <c r="BG1" s="50"/>
      <c r="BH1" s="50"/>
      <c r="BI1" s="50"/>
      <c r="BJ1" s="50"/>
    </row>
    <row r="2" spans="2:62" ht="15" thickBot="1" x14ac:dyDescent="0.35">
      <c r="B2" s="12" t="s">
        <v>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5</v>
      </c>
      <c r="W2" s="2" t="s">
        <v>6</v>
      </c>
      <c r="X2" s="2" t="s">
        <v>0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0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0</v>
      </c>
      <c r="AM2" s="2" t="s">
        <v>1</v>
      </c>
      <c r="AN2" s="2" t="s">
        <v>2</v>
      </c>
      <c r="AO2" s="2" t="s">
        <v>3</v>
      </c>
      <c r="AP2" s="2" t="s">
        <v>4</v>
      </c>
      <c r="AQ2" s="2" t="s">
        <v>5</v>
      </c>
      <c r="AR2" s="2" t="s">
        <v>6</v>
      </c>
      <c r="AT2" s="12" t="s">
        <v>7</v>
      </c>
      <c r="AU2" s="2" t="s">
        <v>0</v>
      </c>
      <c r="AV2" s="2" t="s">
        <v>1</v>
      </c>
      <c r="AW2" s="2" t="s">
        <v>2</v>
      </c>
      <c r="AX2" s="2" t="s">
        <v>3</v>
      </c>
      <c r="AY2" s="2" t="s">
        <v>4</v>
      </c>
      <c r="AZ2" s="2" t="s">
        <v>5</v>
      </c>
      <c r="BA2" s="2" t="s">
        <v>6</v>
      </c>
      <c r="BC2" s="12" t="s">
        <v>7</v>
      </c>
      <c r="BD2" s="2" t="s">
        <v>0</v>
      </c>
      <c r="BE2" s="2" t="s">
        <v>1</v>
      </c>
      <c r="BF2" s="2" t="s">
        <v>2</v>
      </c>
      <c r="BG2" s="2" t="s">
        <v>3</v>
      </c>
      <c r="BH2" s="2" t="s">
        <v>4</v>
      </c>
      <c r="BI2" s="2" t="s">
        <v>5</v>
      </c>
      <c r="BJ2" s="2" t="s">
        <v>6</v>
      </c>
    </row>
    <row r="3" spans="2:62" ht="15" thickBot="1" x14ac:dyDescent="0.35">
      <c r="B3" s="7">
        <v>0.375</v>
      </c>
      <c r="C3" s="6">
        <v>70</v>
      </c>
      <c r="D3" s="4">
        <v>56</v>
      </c>
      <c r="E3" s="4">
        <v>63</v>
      </c>
      <c r="F3" s="4">
        <v>57</v>
      </c>
      <c r="G3" s="4">
        <v>50</v>
      </c>
      <c r="H3" s="4">
        <v>36</v>
      </c>
      <c r="I3" s="5">
        <v>30</v>
      </c>
      <c r="J3" s="6">
        <v>71</v>
      </c>
      <c r="K3" s="4">
        <v>57</v>
      </c>
      <c r="L3" s="4">
        <v>64</v>
      </c>
      <c r="M3" s="4">
        <v>58</v>
      </c>
      <c r="N3" s="4">
        <v>51</v>
      </c>
      <c r="O3" s="4">
        <v>37</v>
      </c>
      <c r="P3" s="5">
        <v>31</v>
      </c>
      <c r="Q3" s="6">
        <v>72</v>
      </c>
      <c r="R3" s="4">
        <v>58</v>
      </c>
      <c r="S3" s="4">
        <v>65</v>
      </c>
      <c r="T3" s="4">
        <v>59</v>
      </c>
      <c r="U3" s="4">
        <v>52</v>
      </c>
      <c r="V3" s="4">
        <v>37</v>
      </c>
      <c r="W3" s="5">
        <v>31</v>
      </c>
      <c r="X3" s="6">
        <v>69</v>
      </c>
      <c r="Y3" s="4">
        <v>55</v>
      </c>
      <c r="Z3" s="4">
        <v>62</v>
      </c>
      <c r="AA3" s="4">
        <v>56</v>
      </c>
      <c r="AB3" s="4">
        <v>49</v>
      </c>
      <c r="AC3" s="4">
        <v>35</v>
      </c>
      <c r="AD3" s="5">
        <v>29</v>
      </c>
      <c r="AE3" s="6">
        <v>68</v>
      </c>
      <c r="AF3" s="4">
        <v>54</v>
      </c>
      <c r="AG3" s="4">
        <v>61</v>
      </c>
      <c r="AH3" s="4">
        <v>55</v>
      </c>
      <c r="AI3" s="4">
        <v>48</v>
      </c>
      <c r="AJ3" s="4">
        <v>34</v>
      </c>
      <c r="AK3" s="5">
        <v>28</v>
      </c>
      <c r="AL3" s="6">
        <v>69</v>
      </c>
      <c r="AM3" s="4">
        <v>56</v>
      </c>
      <c r="AN3" s="4">
        <v>62</v>
      </c>
      <c r="AO3" s="4">
        <v>57</v>
      </c>
      <c r="AP3" s="4">
        <v>49</v>
      </c>
      <c r="AQ3" s="4">
        <v>35</v>
      </c>
      <c r="AR3" s="5">
        <v>30</v>
      </c>
      <c r="AT3" s="7">
        <v>0.375</v>
      </c>
      <c r="AU3" s="14">
        <f>AVERAGEIF($C$2:$AR$2,AU$2,$C3:$AR3)</f>
        <v>69.833333333333329</v>
      </c>
      <c r="AV3" s="14">
        <f t="shared" ref="AV3:BA18" si="0">AVERAGEIF($C$2:$AR$2,AV$2,$C3:$AR3)</f>
        <v>56</v>
      </c>
      <c r="AW3" s="14">
        <f t="shared" si="0"/>
        <v>62.833333333333336</v>
      </c>
      <c r="AX3" s="14">
        <f t="shared" si="0"/>
        <v>57</v>
      </c>
      <c r="AY3" s="14">
        <f t="shared" si="0"/>
        <v>49.833333333333336</v>
      </c>
      <c r="AZ3" s="14">
        <f t="shared" si="0"/>
        <v>35.666666666666664</v>
      </c>
      <c r="BA3" s="15">
        <f t="shared" si="0"/>
        <v>29.833333333333332</v>
      </c>
      <c r="BC3" s="7">
        <v>0.375</v>
      </c>
      <c r="BD3" s="17">
        <f>AU3/AU$33</f>
        <v>3.495745035875189E-2</v>
      </c>
      <c r="BE3" s="17">
        <f t="shared" ref="BE3:BJ3" si="1">AV3/AV$33</f>
        <v>3.07467057101025E-2</v>
      </c>
      <c r="BF3" s="17">
        <f t="shared" si="1"/>
        <v>3.5079557085698355E-2</v>
      </c>
      <c r="BG3" s="17">
        <f t="shared" si="1"/>
        <v>3.1413612565445038E-2</v>
      </c>
      <c r="BH3" s="17">
        <f t="shared" si="1"/>
        <v>3.1055255504777744E-2</v>
      </c>
      <c r="BI3" s="17">
        <f t="shared" si="1"/>
        <v>3.0115395440472835E-2</v>
      </c>
      <c r="BJ3" s="18">
        <f t="shared" si="1"/>
        <v>2.9586776859504147E-2</v>
      </c>
    </row>
    <row r="4" spans="2:62" ht="15" thickBot="1" x14ac:dyDescent="0.35">
      <c r="B4" s="3">
        <v>0.39583333333333331</v>
      </c>
      <c r="C4" s="6">
        <v>80</v>
      </c>
      <c r="D4" s="4">
        <v>77</v>
      </c>
      <c r="E4" s="4">
        <v>73</v>
      </c>
      <c r="F4" s="4">
        <v>71</v>
      </c>
      <c r="G4" s="4">
        <v>61</v>
      </c>
      <c r="H4" s="4">
        <v>45</v>
      </c>
      <c r="I4" s="5">
        <v>33</v>
      </c>
      <c r="J4" s="6">
        <v>81</v>
      </c>
      <c r="K4" s="4">
        <v>78</v>
      </c>
      <c r="L4" s="4">
        <v>74</v>
      </c>
      <c r="M4" s="4">
        <v>72</v>
      </c>
      <c r="N4" s="4">
        <v>62</v>
      </c>
      <c r="O4" s="4">
        <v>46</v>
      </c>
      <c r="P4" s="5">
        <v>34</v>
      </c>
      <c r="Q4" s="6">
        <v>82</v>
      </c>
      <c r="R4" s="4">
        <v>79</v>
      </c>
      <c r="S4" s="4">
        <v>75</v>
      </c>
      <c r="T4" s="4">
        <v>73</v>
      </c>
      <c r="U4" s="4">
        <v>63</v>
      </c>
      <c r="V4" s="4">
        <v>47</v>
      </c>
      <c r="W4" s="5">
        <v>34</v>
      </c>
      <c r="X4" s="6">
        <v>79</v>
      </c>
      <c r="Y4" s="4">
        <v>76</v>
      </c>
      <c r="Z4" s="4">
        <v>72</v>
      </c>
      <c r="AA4" s="4">
        <v>70</v>
      </c>
      <c r="AB4" s="4">
        <v>60</v>
      </c>
      <c r="AC4" s="4">
        <v>44</v>
      </c>
      <c r="AD4" s="5">
        <v>32</v>
      </c>
      <c r="AE4" s="6">
        <v>78</v>
      </c>
      <c r="AF4" s="4">
        <v>75</v>
      </c>
      <c r="AG4" s="4">
        <v>71</v>
      </c>
      <c r="AH4" s="4">
        <v>69</v>
      </c>
      <c r="AI4" s="4">
        <v>59</v>
      </c>
      <c r="AJ4" s="4">
        <v>43</v>
      </c>
      <c r="AK4" s="5">
        <v>31</v>
      </c>
      <c r="AL4" s="6">
        <v>79</v>
      </c>
      <c r="AM4" s="4">
        <v>76</v>
      </c>
      <c r="AN4" s="4">
        <v>73</v>
      </c>
      <c r="AO4" s="4">
        <v>71</v>
      </c>
      <c r="AP4" s="4">
        <v>60</v>
      </c>
      <c r="AQ4" s="4">
        <v>44</v>
      </c>
      <c r="AR4" s="5">
        <v>32</v>
      </c>
      <c r="AT4" s="3">
        <v>0.39583333333333331</v>
      </c>
      <c r="AU4" s="14">
        <f t="shared" ref="AU4:BA20" si="2">AVERAGEIF($C$2:$AR$2,AU$2,$C4:$AR4)</f>
        <v>79.833333333333329</v>
      </c>
      <c r="AV4" s="14">
        <f t="shared" si="0"/>
        <v>76.833333333333329</v>
      </c>
      <c r="AW4" s="14">
        <f t="shared" si="0"/>
        <v>73</v>
      </c>
      <c r="AX4" s="14">
        <f t="shared" si="0"/>
        <v>71</v>
      </c>
      <c r="AY4" s="14">
        <f t="shared" si="0"/>
        <v>60.833333333333336</v>
      </c>
      <c r="AZ4" s="14">
        <f t="shared" si="0"/>
        <v>44.833333333333336</v>
      </c>
      <c r="BA4" s="15">
        <f t="shared" si="0"/>
        <v>32.666666666666664</v>
      </c>
      <c r="BC4" s="3">
        <v>0.39583333333333331</v>
      </c>
      <c r="BD4" s="17">
        <f t="shared" ref="BD4:BD32" si="3">AU4/AU$33</f>
        <v>3.9963290505589874E-2</v>
      </c>
      <c r="BE4" s="17">
        <f t="shared" ref="BE4:BE32" si="4">AV4/AV$33</f>
        <v>4.2185212298682301E-2</v>
      </c>
      <c r="BF4" s="17">
        <f t="shared" ref="BF4:BF32" si="5">AW4/AW$33</f>
        <v>4.0755559691076595E-2</v>
      </c>
      <c r="BG4" s="17">
        <f t="shared" ref="BG4:BG32" si="6">AX4/AX$33</f>
        <v>3.9129236704326276E-2</v>
      </c>
      <c r="BH4" s="17">
        <f t="shared" ref="BH4:BH32" si="7">AY4/AY$33</f>
        <v>3.7910261736601593E-2</v>
      </c>
      <c r="BI4" s="17">
        <f t="shared" ref="BI4:BI32" si="8">AZ4/AZ$33</f>
        <v>3.785533352096819E-2</v>
      </c>
      <c r="BJ4" s="18">
        <f t="shared" ref="BJ4:BJ32" si="9">BA4/BA$33</f>
        <v>3.2396694214876051E-2</v>
      </c>
    </row>
    <row r="5" spans="2:62" ht="15" thickBot="1" x14ac:dyDescent="0.35">
      <c r="B5" s="3">
        <v>0.41666666666666669</v>
      </c>
      <c r="C5" s="6">
        <v>85</v>
      </c>
      <c r="D5" s="4">
        <v>78</v>
      </c>
      <c r="E5" s="4">
        <v>78</v>
      </c>
      <c r="F5" s="4">
        <v>78</v>
      </c>
      <c r="G5" s="4">
        <v>67</v>
      </c>
      <c r="H5" s="4">
        <v>53</v>
      </c>
      <c r="I5" s="5">
        <v>34</v>
      </c>
      <c r="J5" s="6">
        <v>86</v>
      </c>
      <c r="K5" s="4">
        <v>79</v>
      </c>
      <c r="L5" s="4">
        <v>79</v>
      </c>
      <c r="M5" s="4">
        <v>79</v>
      </c>
      <c r="N5" s="4">
        <v>68</v>
      </c>
      <c r="O5" s="4">
        <v>54</v>
      </c>
      <c r="P5" s="5">
        <v>35</v>
      </c>
      <c r="Q5" s="6">
        <v>87</v>
      </c>
      <c r="R5" s="4">
        <v>80</v>
      </c>
      <c r="S5" s="4">
        <v>80</v>
      </c>
      <c r="T5" s="4">
        <v>80</v>
      </c>
      <c r="U5" s="4">
        <v>69</v>
      </c>
      <c r="V5" s="4">
        <v>55</v>
      </c>
      <c r="W5" s="5">
        <v>35</v>
      </c>
      <c r="X5" s="6">
        <v>84</v>
      </c>
      <c r="Y5" s="4">
        <v>77</v>
      </c>
      <c r="Z5" s="4">
        <v>77</v>
      </c>
      <c r="AA5" s="4">
        <v>77</v>
      </c>
      <c r="AB5" s="4">
        <v>66</v>
      </c>
      <c r="AC5" s="4">
        <v>52</v>
      </c>
      <c r="AD5" s="5">
        <v>33</v>
      </c>
      <c r="AE5" s="6">
        <v>83</v>
      </c>
      <c r="AF5" s="4">
        <v>76</v>
      </c>
      <c r="AG5" s="4">
        <v>76</v>
      </c>
      <c r="AH5" s="4">
        <v>76</v>
      </c>
      <c r="AI5" s="4">
        <v>65</v>
      </c>
      <c r="AJ5" s="4">
        <v>51</v>
      </c>
      <c r="AK5" s="5">
        <v>32</v>
      </c>
      <c r="AL5" s="6">
        <v>84</v>
      </c>
      <c r="AM5" s="4">
        <v>77</v>
      </c>
      <c r="AN5" s="4">
        <v>77</v>
      </c>
      <c r="AO5" s="4">
        <v>78</v>
      </c>
      <c r="AP5" s="4">
        <v>66</v>
      </c>
      <c r="AQ5" s="4">
        <v>52</v>
      </c>
      <c r="AR5" s="5">
        <v>34</v>
      </c>
      <c r="AT5" s="3">
        <v>0.41666666666666669</v>
      </c>
      <c r="AU5" s="14">
        <f t="shared" si="2"/>
        <v>84.833333333333329</v>
      </c>
      <c r="AV5" s="14">
        <f t="shared" si="0"/>
        <v>77.833333333333329</v>
      </c>
      <c r="AW5" s="14">
        <f t="shared" si="0"/>
        <v>77.833333333333329</v>
      </c>
      <c r="AX5" s="14">
        <f t="shared" si="0"/>
        <v>78</v>
      </c>
      <c r="AY5" s="14">
        <f t="shared" si="0"/>
        <v>66.833333333333329</v>
      </c>
      <c r="AZ5" s="14">
        <f t="shared" si="0"/>
        <v>52.833333333333336</v>
      </c>
      <c r="BA5" s="15">
        <f t="shared" si="0"/>
        <v>33.833333333333336</v>
      </c>
      <c r="BC5" s="3">
        <v>0.41666666666666669</v>
      </c>
      <c r="BD5" s="17">
        <f t="shared" si="3"/>
        <v>4.2466210579008866E-2</v>
      </c>
      <c r="BE5" s="17">
        <f t="shared" si="4"/>
        <v>4.2734260614934128E-2</v>
      </c>
      <c r="BF5" s="17">
        <f t="shared" si="5"/>
        <v>4.3453987159207237E-2</v>
      </c>
      <c r="BG5" s="17">
        <f t="shared" si="6"/>
        <v>4.2987048773766891E-2</v>
      </c>
      <c r="BH5" s="17">
        <f t="shared" si="7"/>
        <v>4.1649356044869142E-2</v>
      </c>
      <c r="BI5" s="17">
        <f t="shared" si="8"/>
        <v>4.461018857303687E-2</v>
      </c>
      <c r="BJ5" s="18">
        <f t="shared" si="9"/>
        <v>3.3553719008264482E-2</v>
      </c>
    </row>
    <row r="6" spans="2:62" ht="15" thickBot="1" x14ac:dyDescent="0.35">
      <c r="B6" s="3">
        <v>0.4375</v>
      </c>
      <c r="C6" s="6">
        <v>89</v>
      </c>
      <c r="D6" s="4">
        <v>82</v>
      </c>
      <c r="E6" s="4">
        <v>81</v>
      </c>
      <c r="F6" s="4">
        <v>82</v>
      </c>
      <c r="G6" s="4">
        <v>74</v>
      </c>
      <c r="H6" s="4">
        <v>53</v>
      </c>
      <c r="I6" s="5">
        <v>38</v>
      </c>
      <c r="J6" s="6">
        <v>90</v>
      </c>
      <c r="K6" s="4">
        <v>83</v>
      </c>
      <c r="L6" s="4">
        <v>82</v>
      </c>
      <c r="M6" s="4">
        <v>83</v>
      </c>
      <c r="N6" s="4">
        <v>75</v>
      </c>
      <c r="O6" s="4">
        <v>54</v>
      </c>
      <c r="P6" s="5">
        <v>39</v>
      </c>
      <c r="Q6" s="6">
        <v>91</v>
      </c>
      <c r="R6" s="4">
        <v>84</v>
      </c>
      <c r="S6" s="4">
        <v>83</v>
      </c>
      <c r="T6" s="4">
        <v>84</v>
      </c>
      <c r="U6" s="4">
        <v>76</v>
      </c>
      <c r="V6" s="4">
        <v>55</v>
      </c>
      <c r="W6" s="5">
        <v>39</v>
      </c>
      <c r="X6" s="6">
        <v>88</v>
      </c>
      <c r="Y6" s="4">
        <v>81</v>
      </c>
      <c r="Z6" s="4">
        <v>80</v>
      </c>
      <c r="AA6" s="4">
        <v>81</v>
      </c>
      <c r="AB6" s="4">
        <v>73</v>
      </c>
      <c r="AC6" s="4">
        <v>52</v>
      </c>
      <c r="AD6" s="5">
        <v>37</v>
      </c>
      <c r="AE6" s="6">
        <v>87</v>
      </c>
      <c r="AF6" s="4">
        <v>80</v>
      </c>
      <c r="AG6" s="4">
        <v>79</v>
      </c>
      <c r="AH6" s="4">
        <v>80</v>
      </c>
      <c r="AI6" s="4">
        <v>72</v>
      </c>
      <c r="AJ6" s="4">
        <v>51</v>
      </c>
      <c r="AK6" s="5">
        <v>36</v>
      </c>
      <c r="AL6" s="6">
        <v>88</v>
      </c>
      <c r="AM6" s="4">
        <v>82</v>
      </c>
      <c r="AN6" s="4">
        <v>80</v>
      </c>
      <c r="AO6" s="4">
        <v>81</v>
      </c>
      <c r="AP6" s="4">
        <v>73</v>
      </c>
      <c r="AQ6" s="4">
        <v>52</v>
      </c>
      <c r="AR6" s="5">
        <v>37</v>
      </c>
      <c r="AT6" s="3">
        <v>0.4375</v>
      </c>
      <c r="AU6" s="14">
        <f t="shared" si="2"/>
        <v>88.833333333333329</v>
      </c>
      <c r="AV6" s="14">
        <f t="shared" si="0"/>
        <v>82</v>
      </c>
      <c r="AW6" s="14">
        <f t="shared" si="0"/>
        <v>80.833333333333329</v>
      </c>
      <c r="AX6" s="14">
        <f t="shared" si="0"/>
        <v>81.833333333333329</v>
      </c>
      <c r="AY6" s="14">
        <f t="shared" si="0"/>
        <v>73.833333333333329</v>
      </c>
      <c r="AZ6" s="14">
        <f t="shared" si="0"/>
        <v>52.833333333333336</v>
      </c>
      <c r="BA6" s="15">
        <f t="shared" si="0"/>
        <v>37.666666666666664</v>
      </c>
      <c r="BC6" s="3">
        <v>0.4375</v>
      </c>
      <c r="BD6" s="17">
        <f t="shared" si="3"/>
        <v>4.4468546637744057E-2</v>
      </c>
      <c r="BE6" s="17">
        <f t="shared" si="4"/>
        <v>4.5021961932650095E-2</v>
      </c>
      <c r="BF6" s="17">
        <f t="shared" si="5"/>
        <v>4.5128873173909019E-2</v>
      </c>
      <c r="BG6" s="17">
        <f t="shared" si="6"/>
        <v>4.5099660145127229E-2</v>
      </c>
      <c r="BH6" s="17">
        <f t="shared" si="7"/>
        <v>4.601163273784796E-2</v>
      </c>
      <c r="BI6" s="17">
        <f t="shared" si="8"/>
        <v>4.461018857303687E-2</v>
      </c>
      <c r="BJ6" s="18">
        <f t="shared" si="9"/>
        <v>3.735537190082646E-2</v>
      </c>
    </row>
    <row r="7" spans="2:62" ht="15" thickBot="1" x14ac:dyDescent="0.35">
      <c r="B7" s="3">
        <v>0.45833333333333331</v>
      </c>
      <c r="C7" s="6">
        <v>92</v>
      </c>
      <c r="D7" s="4">
        <v>80</v>
      </c>
      <c r="E7" s="4">
        <v>82</v>
      </c>
      <c r="F7" s="4">
        <v>77</v>
      </c>
      <c r="G7" s="4">
        <v>70</v>
      </c>
      <c r="H7" s="4">
        <v>59</v>
      </c>
      <c r="I7" s="5">
        <v>43</v>
      </c>
      <c r="J7" s="6">
        <v>93</v>
      </c>
      <c r="K7" s="4">
        <v>81</v>
      </c>
      <c r="L7" s="4">
        <v>83</v>
      </c>
      <c r="M7" s="4">
        <v>78</v>
      </c>
      <c r="N7" s="4">
        <v>71</v>
      </c>
      <c r="O7" s="4">
        <v>60</v>
      </c>
      <c r="P7" s="5">
        <v>44</v>
      </c>
      <c r="Q7" s="6">
        <v>94</v>
      </c>
      <c r="R7" s="4">
        <v>82</v>
      </c>
      <c r="S7" s="4">
        <v>84</v>
      </c>
      <c r="T7" s="4">
        <v>79</v>
      </c>
      <c r="U7" s="4">
        <v>72</v>
      </c>
      <c r="V7" s="4">
        <v>61</v>
      </c>
      <c r="W7" s="5">
        <v>44</v>
      </c>
      <c r="X7" s="6">
        <v>91</v>
      </c>
      <c r="Y7" s="4">
        <v>79</v>
      </c>
      <c r="Z7" s="4">
        <v>81</v>
      </c>
      <c r="AA7" s="4">
        <v>76</v>
      </c>
      <c r="AB7" s="4">
        <v>69</v>
      </c>
      <c r="AC7" s="4">
        <v>58</v>
      </c>
      <c r="AD7" s="5">
        <v>42</v>
      </c>
      <c r="AE7" s="6">
        <v>90</v>
      </c>
      <c r="AF7" s="4">
        <v>78</v>
      </c>
      <c r="AG7" s="4">
        <v>80</v>
      </c>
      <c r="AH7" s="4">
        <v>75</v>
      </c>
      <c r="AI7" s="4">
        <v>68</v>
      </c>
      <c r="AJ7" s="4">
        <v>57</v>
      </c>
      <c r="AK7" s="5">
        <v>41</v>
      </c>
      <c r="AL7" s="6">
        <v>91</v>
      </c>
      <c r="AM7" s="4">
        <v>79</v>
      </c>
      <c r="AN7" s="4">
        <v>81</v>
      </c>
      <c r="AO7" s="4">
        <v>76</v>
      </c>
      <c r="AP7" s="4">
        <v>69</v>
      </c>
      <c r="AQ7" s="4">
        <v>58</v>
      </c>
      <c r="AR7" s="5">
        <v>42</v>
      </c>
      <c r="AT7" s="3">
        <v>0.45833333333333331</v>
      </c>
      <c r="AU7" s="14">
        <f t="shared" si="2"/>
        <v>91.833333333333329</v>
      </c>
      <c r="AV7" s="14">
        <f t="shared" si="0"/>
        <v>79.833333333333329</v>
      </c>
      <c r="AW7" s="14">
        <f t="shared" si="0"/>
        <v>81.833333333333329</v>
      </c>
      <c r="AX7" s="14">
        <f t="shared" si="0"/>
        <v>76.833333333333329</v>
      </c>
      <c r="AY7" s="14">
        <f t="shared" si="0"/>
        <v>69.833333333333329</v>
      </c>
      <c r="AZ7" s="14">
        <f t="shared" si="0"/>
        <v>58.833333333333336</v>
      </c>
      <c r="BA7" s="15">
        <f t="shared" si="0"/>
        <v>42.666666666666664</v>
      </c>
      <c r="BC7" s="3">
        <v>0.45833333333333331</v>
      </c>
      <c r="BD7" s="17">
        <f t="shared" si="3"/>
        <v>4.5970298681795453E-2</v>
      </c>
      <c r="BE7" s="17">
        <f t="shared" si="4"/>
        <v>4.3832357247437788E-2</v>
      </c>
      <c r="BF7" s="17">
        <f t="shared" si="5"/>
        <v>4.5687168512142939E-2</v>
      </c>
      <c r="BG7" s="17">
        <f t="shared" si="6"/>
        <v>4.2344080095526787E-2</v>
      </c>
      <c r="BH7" s="17">
        <f t="shared" si="7"/>
        <v>4.3518903199002923E-2</v>
      </c>
      <c r="BI7" s="17">
        <f t="shared" si="8"/>
        <v>4.9676329862088371E-2</v>
      </c>
      <c r="BJ7" s="18">
        <f t="shared" si="9"/>
        <v>4.2314049586776876E-2</v>
      </c>
    </row>
    <row r="8" spans="2:62" ht="15" thickBot="1" x14ac:dyDescent="0.35">
      <c r="B8" s="3">
        <v>0.47916666666666669</v>
      </c>
      <c r="C8" s="6">
        <v>90</v>
      </c>
      <c r="D8" s="4">
        <v>69</v>
      </c>
      <c r="E8" s="4">
        <v>76</v>
      </c>
      <c r="F8" s="4">
        <v>90</v>
      </c>
      <c r="G8" s="4">
        <v>78</v>
      </c>
      <c r="H8" s="4">
        <v>57</v>
      </c>
      <c r="I8" s="5">
        <v>44</v>
      </c>
      <c r="J8" s="6">
        <v>91</v>
      </c>
      <c r="K8" s="4">
        <v>70</v>
      </c>
      <c r="L8" s="4">
        <v>77</v>
      </c>
      <c r="M8" s="4">
        <v>91</v>
      </c>
      <c r="N8" s="4">
        <v>79</v>
      </c>
      <c r="O8" s="4">
        <v>58</v>
      </c>
      <c r="P8" s="5">
        <v>45</v>
      </c>
      <c r="Q8" s="6">
        <v>92</v>
      </c>
      <c r="R8" s="4">
        <v>71</v>
      </c>
      <c r="S8" s="4">
        <v>78</v>
      </c>
      <c r="T8" s="4">
        <v>92</v>
      </c>
      <c r="U8" s="4">
        <v>80</v>
      </c>
      <c r="V8" s="4">
        <v>59</v>
      </c>
      <c r="W8" s="5">
        <v>45</v>
      </c>
      <c r="X8" s="6">
        <v>89</v>
      </c>
      <c r="Y8" s="4">
        <v>68</v>
      </c>
      <c r="Z8" s="4">
        <v>75</v>
      </c>
      <c r="AA8" s="4">
        <v>89</v>
      </c>
      <c r="AB8" s="4">
        <v>77</v>
      </c>
      <c r="AC8" s="4">
        <v>56</v>
      </c>
      <c r="AD8" s="5">
        <v>43</v>
      </c>
      <c r="AE8" s="6">
        <v>88</v>
      </c>
      <c r="AF8" s="4">
        <v>67</v>
      </c>
      <c r="AG8" s="4">
        <v>74</v>
      </c>
      <c r="AH8" s="4">
        <v>88</v>
      </c>
      <c r="AI8" s="4">
        <v>76</v>
      </c>
      <c r="AJ8" s="4">
        <v>55</v>
      </c>
      <c r="AK8" s="5">
        <v>42</v>
      </c>
      <c r="AL8" s="6">
        <v>89</v>
      </c>
      <c r="AM8" s="4">
        <v>69</v>
      </c>
      <c r="AN8" s="4">
        <v>75</v>
      </c>
      <c r="AO8" s="4">
        <v>90</v>
      </c>
      <c r="AP8" s="4">
        <v>77</v>
      </c>
      <c r="AQ8" s="4">
        <v>56</v>
      </c>
      <c r="AR8" s="5">
        <v>43</v>
      </c>
      <c r="AT8" s="3">
        <v>0.47916666666666669</v>
      </c>
      <c r="AU8" s="14">
        <f t="shared" si="2"/>
        <v>89.833333333333329</v>
      </c>
      <c r="AV8" s="14">
        <f t="shared" si="0"/>
        <v>69</v>
      </c>
      <c r="AW8" s="14">
        <f t="shared" si="0"/>
        <v>75.833333333333329</v>
      </c>
      <c r="AX8" s="14">
        <f t="shared" si="0"/>
        <v>90</v>
      </c>
      <c r="AY8" s="14">
        <f t="shared" si="0"/>
        <v>77.833333333333329</v>
      </c>
      <c r="AZ8" s="14">
        <f t="shared" si="0"/>
        <v>56.833333333333336</v>
      </c>
      <c r="BA8" s="15">
        <f t="shared" si="0"/>
        <v>43.666666666666664</v>
      </c>
      <c r="BC8" s="3">
        <v>0.47916666666666669</v>
      </c>
      <c r="BD8" s="17">
        <f t="shared" si="3"/>
        <v>4.4969130652427851E-2</v>
      </c>
      <c r="BE8" s="17">
        <f t="shared" si="4"/>
        <v>3.78843338213763E-2</v>
      </c>
      <c r="BF8" s="17">
        <f t="shared" si="5"/>
        <v>4.2337396482739389E-2</v>
      </c>
      <c r="BG8" s="17">
        <f t="shared" si="6"/>
        <v>4.9600440892807955E-2</v>
      </c>
      <c r="BH8" s="17">
        <f t="shared" si="7"/>
        <v>4.8504362276692997E-2</v>
      </c>
      <c r="BI8" s="17">
        <f t="shared" si="8"/>
        <v>4.7987616099071206E-2</v>
      </c>
      <c r="BJ8" s="18">
        <f t="shared" si="9"/>
        <v>4.3305785123966961E-2</v>
      </c>
    </row>
    <row r="9" spans="2:62" ht="15" thickBot="1" x14ac:dyDescent="0.35">
      <c r="B9" s="3">
        <v>0.5</v>
      </c>
      <c r="C9" s="6">
        <v>87</v>
      </c>
      <c r="D9" s="4">
        <v>75</v>
      </c>
      <c r="E9" s="4">
        <v>67</v>
      </c>
      <c r="F9" s="4">
        <v>75</v>
      </c>
      <c r="G9" s="4">
        <v>73</v>
      </c>
      <c r="H9" s="4">
        <v>54</v>
      </c>
      <c r="I9" s="5">
        <v>46</v>
      </c>
      <c r="J9" s="6">
        <v>88</v>
      </c>
      <c r="K9" s="4">
        <v>76</v>
      </c>
      <c r="L9" s="4">
        <v>68</v>
      </c>
      <c r="M9" s="4">
        <v>76</v>
      </c>
      <c r="N9" s="4">
        <v>74</v>
      </c>
      <c r="O9" s="4">
        <v>55</v>
      </c>
      <c r="P9" s="5">
        <v>47</v>
      </c>
      <c r="Q9" s="6">
        <v>89</v>
      </c>
      <c r="R9" s="4">
        <v>77</v>
      </c>
      <c r="S9" s="4">
        <v>69</v>
      </c>
      <c r="T9" s="4">
        <v>77</v>
      </c>
      <c r="U9" s="4">
        <v>75</v>
      </c>
      <c r="V9" s="4">
        <v>56</v>
      </c>
      <c r="W9" s="5">
        <v>47</v>
      </c>
      <c r="X9" s="6">
        <v>86</v>
      </c>
      <c r="Y9" s="4">
        <v>74</v>
      </c>
      <c r="Z9" s="4">
        <v>66</v>
      </c>
      <c r="AA9" s="4">
        <v>74</v>
      </c>
      <c r="AB9" s="4">
        <v>72</v>
      </c>
      <c r="AC9" s="4">
        <v>53</v>
      </c>
      <c r="AD9" s="5">
        <v>45</v>
      </c>
      <c r="AE9" s="6">
        <v>85</v>
      </c>
      <c r="AF9" s="4">
        <v>73</v>
      </c>
      <c r="AG9" s="4">
        <v>65</v>
      </c>
      <c r="AH9" s="4">
        <v>73</v>
      </c>
      <c r="AI9" s="4">
        <v>71</v>
      </c>
      <c r="AJ9" s="4">
        <v>52</v>
      </c>
      <c r="AK9" s="5">
        <v>44</v>
      </c>
      <c r="AL9" s="6">
        <v>86</v>
      </c>
      <c r="AM9" s="4">
        <v>75</v>
      </c>
      <c r="AN9" s="4">
        <v>67</v>
      </c>
      <c r="AO9" s="4">
        <v>74</v>
      </c>
      <c r="AP9" s="4">
        <v>72</v>
      </c>
      <c r="AQ9" s="4">
        <v>53</v>
      </c>
      <c r="AR9" s="5">
        <v>45</v>
      </c>
      <c r="AT9" s="3">
        <v>0.5</v>
      </c>
      <c r="AU9" s="14">
        <f t="shared" si="2"/>
        <v>86.833333333333329</v>
      </c>
      <c r="AV9" s="14">
        <f t="shared" si="0"/>
        <v>75</v>
      </c>
      <c r="AW9" s="14">
        <f t="shared" si="0"/>
        <v>67</v>
      </c>
      <c r="AX9" s="14">
        <f t="shared" si="0"/>
        <v>74.833333333333329</v>
      </c>
      <c r="AY9" s="14">
        <f t="shared" si="0"/>
        <v>72.833333333333329</v>
      </c>
      <c r="AZ9" s="14">
        <f t="shared" si="0"/>
        <v>53.833333333333336</v>
      </c>
      <c r="BA9" s="15">
        <f t="shared" si="0"/>
        <v>45.666666666666664</v>
      </c>
      <c r="BC9" s="3">
        <v>0.5</v>
      </c>
      <c r="BD9" s="17">
        <f t="shared" si="3"/>
        <v>4.3467378608376461E-2</v>
      </c>
      <c r="BE9" s="17">
        <f t="shared" si="4"/>
        <v>4.1178623718887281E-2</v>
      </c>
      <c r="BF9" s="17">
        <f t="shared" si="5"/>
        <v>3.7405787661673046E-2</v>
      </c>
      <c r="BG9" s="17">
        <f t="shared" si="6"/>
        <v>4.1241848075686614E-2</v>
      </c>
      <c r="BH9" s="17">
        <f t="shared" si="7"/>
        <v>4.5388450353136697E-2</v>
      </c>
      <c r="BI9" s="17">
        <f t="shared" si="8"/>
        <v>4.5454545454545449E-2</v>
      </c>
      <c r="BJ9" s="18">
        <f t="shared" si="9"/>
        <v>4.528925619834713E-2</v>
      </c>
    </row>
    <row r="10" spans="2:62" ht="15" thickBot="1" x14ac:dyDescent="0.35">
      <c r="B10" s="3">
        <v>0.52083333333333337</v>
      </c>
      <c r="C10" s="6">
        <v>79</v>
      </c>
      <c r="D10" s="4">
        <v>75</v>
      </c>
      <c r="E10" s="4">
        <v>65</v>
      </c>
      <c r="F10" s="4">
        <v>74</v>
      </c>
      <c r="G10" s="4">
        <v>64</v>
      </c>
      <c r="H10" s="4">
        <v>59</v>
      </c>
      <c r="I10" s="5">
        <v>38</v>
      </c>
      <c r="J10" s="6">
        <v>80</v>
      </c>
      <c r="K10" s="4">
        <v>76</v>
      </c>
      <c r="L10" s="4">
        <v>66</v>
      </c>
      <c r="M10" s="4">
        <v>75</v>
      </c>
      <c r="N10" s="4">
        <v>65</v>
      </c>
      <c r="O10" s="4">
        <v>60</v>
      </c>
      <c r="P10" s="5">
        <v>39</v>
      </c>
      <c r="Q10" s="6">
        <v>81</v>
      </c>
      <c r="R10" s="4">
        <v>77</v>
      </c>
      <c r="S10" s="4">
        <v>67</v>
      </c>
      <c r="T10" s="4">
        <v>76</v>
      </c>
      <c r="U10" s="4">
        <v>66</v>
      </c>
      <c r="V10" s="4">
        <v>61</v>
      </c>
      <c r="W10" s="5">
        <v>39</v>
      </c>
      <c r="X10" s="6">
        <v>78</v>
      </c>
      <c r="Y10" s="4">
        <v>74</v>
      </c>
      <c r="Z10" s="4">
        <v>64</v>
      </c>
      <c r="AA10" s="4">
        <v>73</v>
      </c>
      <c r="AB10" s="4">
        <v>63</v>
      </c>
      <c r="AC10" s="4">
        <v>58</v>
      </c>
      <c r="AD10" s="5">
        <v>37</v>
      </c>
      <c r="AE10" s="6">
        <v>77</v>
      </c>
      <c r="AF10" s="4">
        <v>73</v>
      </c>
      <c r="AG10" s="4">
        <v>63</v>
      </c>
      <c r="AH10" s="4">
        <v>72</v>
      </c>
      <c r="AI10" s="4">
        <v>62</v>
      </c>
      <c r="AJ10" s="4">
        <v>57</v>
      </c>
      <c r="AK10" s="5">
        <v>36</v>
      </c>
      <c r="AL10" s="6">
        <v>78</v>
      </c>
      <c r="AM10" s="4">
        <v>74</v>
      </c>
      <c r="AN10" s="4">
        <v>64</v>
      </c>
      <c r="AO10" s="4">
        <v>73</v>
      </c>
      <c r="AP10" s="4">
        <v>63</v>
      </c>
      <c r="AQ10" s="4">
        <v>58</v>
      </c>
      <c r="AR10" s="5">
        <v>37</v>
      </c>
      <c r="AT10" s="3">
        <v>0.52083333333333337</v>
      </c>
      <c r="AU10" s="14">
        <f t="shared" si="2"/>
        <v>78.833333333333329</v>
      </c>
      <c r="AV10" s="14">
        <f t="shared" si="0"/>
        <v>74.833333333333329</v>
      </c>
      <c r="AW10" s="14">
        <f t="shared" si="0"/>
        <v>64.833333333333329</v>
      </c>
      <c r="AX10" s="14">
        <f t="shared" si="0"/>
        <v>73.833333333333329</v>
      </c>
      <c r="AY10" s="14">
        <f t="shared" si="0"/>
        <v>63.833333333333336</v>
      </c>
      <c r="AZ10" s="14">
        <f t="shared" si="0"/>
        <v>58.833333333333336</v>
      </c>
      <c r="BA10" s="15">
        <f t="shared" si="0"/>
        <v>37.666666666666664</v>
      </c>
      <c r="BC10" s="3">
        <v>0.52083333333333337</v>
      </c>
      <c r="BD10" s="17">
        <f t="shared" si="3"/>
        <v>3.9462706490906073E-2</v>
      </c>
      <c r="BE10" s="17">
        <f t="shared" si="4"/>
        <v>4.108711566617864E-2</v>
      </c>
      <c r="BF10" s="17">
        <f t="shared" si="5"/>
        <v>3.6196147762166203E-2</v>
      </c>
      <c r="BG10" s="17">
        <f t="shared" si="6"/>
        <v>4.0690732065766524E-2</v>
      </c>
      <c r="BH10" s="17">
        <f t="shared" si="7"/>
        <v>3.9779808890735374E-2</v>
      </c>
      <c r="BI10" s="17">
        <f t="shared" si="8"/>
        <v>4.9676329862088371E-2</v>
      </c>
      <c r="BJ10" s="18">
        <f t="shared" si="9"/>
        <v>3.735537190082646E-2</v>
      </c>
    </row>
    <row r="11" spans="2:62" ht="15" thickBot="1" x14ac:dyDescent="0.35">
      <c r="B11" s="3">
        <v>0.54166666666666663</v>
      </c>
      <c r="C11" s="6">
        <v>83</v>
      </c>
      <c r="D11" s="4">
        <v>82</v>
      </c>
      <c r="E11" s="4">
        <v>70</v>
      </c>
      <c r="F11" s="4">
        <v>83</v>
      </c>
      <c r="G11" s="4">
        <v>65</v>
      </c>
      <c r="H11" s="4">
        <v>51</v>
      </c>
      <c r="I11" s="5">
        <v>45</v>
      </c>
      <c r="J11" s="6">
        <v>84</v>
      </c>
      <c r="K11" s="4">
        <v>83</v>
      </c>
      <c r="L11" s="4">
        <v>71</v>
      </c>
      <c r="M11" s="4">
        <v>84</v>
      </c>
      <c r="N11" s="4">
        <v>66</v>
      </c>
      <c r="O11" s="4">
        <v>52</v>
      </c>
      <c r="P11" s="5">
        <v>46</v>
      </c>
      <c r="Q11" s="6">
        <v>85</v>
      </c>
      <c r="R11" s="4">
        <v>84</v>
      </c>
      <c r="S11" s="4">
        <v>72</v>
      </c>
      <c r="T11" s="4">
        <v>85</v>
      </c>
      <c r="U11" s="4">
        <v>67</v>
      </c>
      <c r="V11" s="4">
        <v>53</v>
      </c>
      <c r="W11" s="5">
        <v>46</v>
      </c>
      <c r="X11" s="6">
        <v>82</v>
      </c>
      <c r="Y11" s="4">
        <v>81</v>
      </c>
      <c r="Z11" s="4">
        <v>69</v>
      </c>
      <c r="AA11" s="4">
        <v>82</v>
      </c>
      <c r="AB11" s="4">
        <v>64</v>
      </c>
      <c r="AC11" s="4">
        <v>50</v>
      </c>
      <c r="AD11" s="5">
        <v>44</v>
      </c>
      <c r="AE11" s="6">
        <v>81</v>
      </c>
      <c r="AF11" s="4">
        <v>80</v>
      </c>
      <c r="AG11" s="4">
        <v>68</v>
      </c>
      <c r="AH11" s="4">
        <v>81</v>
      </c>
      <c r="AI11" s="4">
        <v>63</v>
      </c>
      <c r="AJ11" s="4">
        <v>49</v>
      </c>
      <c r="AK11" s="5">
        <v>43</v>
      </c>
      <c r="AL11" s="6">
        <v>82</v>
      </c>
      <c r="AM11" s="4">
        <v>81</v>
      </c>
      <c r="AN11" s="4">
        <v>70</v>
      </c>
      <c r="AO11" s="4">
        <v>82</v>
      </c>
      <c r="AP11" s="4">
        <v>64</v>
      </c>
      <c r="AQ11" s="4">
        <v>50</v>
      </c>
      <c r="AR11" s="5">
        <v>44</v>
      </c>
      <c r="AT11" s="3">
        <v>0.54166666666666663</v>
      </c>
      <c r="AU11" s="14">
        <f t="shared" si="2"/>
        <v>82.833333333333329</v>
      </c>
      <c r="AV11" s="14">
        <f t="shared" si="0"/>
        <v>81.833333333333329</v>
      </c>
      <c r="AW11" s="14">
        <f t="shared" si="0"/>
        <v>70</v>
      </c>
      <c r="AX11" s="14">
        <f t="shared" si="0"/>
        <v>82.833333333333329</v>
      </c>
      <c r="AY11" s="14">
        <f t="shared" si="0"/>
        <v>64.833333333333329</v>
      </c>
      <c r="AZ11" s="14">
        <f t="shared" si="0"/>
        <v>50.833333333333336</v>
      </c>
      <c r="BA11" s="15">
        <f t="shared" si="0"/>
        <v>44.666666666666664</v>
      </c>
      <c r="BC11" s="3">
        <v>0.54166666666666663</v>
      </c>
      <c r="BD11" s="17">
        <f t="shared" si="3"/>
        <v>4.1465042549641271E-2</v>
      </c>
      <c r="BE11" s="17">
        <f t="shared" si="4"/>
        <v>4.4930453879941448E-2</v>
      </c>
      <c r="BF11" s="17">
        <f t="shared" si="5"/>
        <v>3.9080673676374821E-2</v>
      </c>
      <c r="BG11" s="17">
        <f t="shared" si="6"/>
        <v>4.5650776155047319E-2</v>
      </c>
      <c r="BH11" s="17">
        <f t="shared" si="7"/>
        <v>4.0402991275446623E-2</v>
      </c>
      <c r="BI11" s="17">
        <f t="shared" si="8"/>
        <v>4.2921474810019698E-2</v>
      </c>
      <c r="BJ11" s="18">
        <f t="shared" si="9"/>
        <v>4.4297520661157046E-2</v>
      </c>
    </row>
    <row r="12" spans="2:62" ht="15" thickBot="1" x14ac:dyDescent="0.35">
      <c r="B12" s="3">
        <v>0.5625</v>
      </c>
      <c r="C12" s="6">
        <v>84</v>
      </c>
      <c r="D12" s="4">
        <v>83</v>
      </c>
      <c r="E12" s="4">
        <v>78</v>
      </c>
      <c r="F12" s="4">
        <v>71</v>
      </c>
      <c r="G12" s="4">
        <v>72</v>
      </c>
      <c r="H12" s="4">
        <v>45</v>
      </c>
      <c r="I12" s="5">
        <v>42</v>
      </c>
      <c r="J12" s="6">
        <v>85</v>
      </c>
      <c r="K12" s="4">
        <v>84</v>
      </c>
      <c r="L12" s="4">
        <v>79</v>
      </c>
      <c r="M12" s="4">
        <v>72</v>
      </c>
      <c r="N12" s="4">
        <v>73</v>
      </c>
      <c r="O12" s="4">
        <v>46</v>
      </c>
      <c r="P12" s="5">
        <v>43</v>
      </c>
      <c r="Q12" s="6">
        <v>86</v>
      </c>
      <c r="R12" s="4">
        <v>85</v>
      </c>
      <c r="S12" s="4">
        <v>80</v>
      </c>
      <c r="T12" s="4">
        <v>73</v>
      </c>
      <c r="U12" s="4">
        <v>74</v>
      </c>
      <c r="V12" s="4">
        <v>47</v>
      </c>
      <c r="W12" s="5">
        <v>43</v>
      </c>
      <c r="X12" s="6">
        <v>83</v>
      </c>
      <c r="Y12" s="4">
        <v>82</v>
      </c>
      <c r="Z12" s="4">
        <v>77</v>
      </c>
      <c r="AA12" s="4">
        <v>70</v>
      </c>
      <c r="AB12" s="4">
        <v>71</v>
      </c>
      <c r="AC12" s="4">
        <v>44</v>
      </c>
      <c r="AD12" s="5">
        <v>41</v>
      </c>
      <c r="AE12" s="6">
        <v>82</v>
      </c>
      <c r="AF12" s="4">
        <v>81</v>
      </c>
      <c r="AG12" s="4">
        <v>76</v>
      </c>
      <c r="AH12" s="4">
        <v>69</v>
      </c>
      <c r="AI12" s="4">
        <v>70</v>
      </c>
      <c r="AJ12" s="4">
        <v>43</v>
      </c>
      <c r="AK12" s="5">
        <v>40</v>
      </c>
      <c r="AL12" s="6">
        <v>83</v>
      </c>
      <c r="AM12" s="4">
        <v>82</v>
      </c>
      <c r="AN12" s="4">
        <v>77</v>
      </c>
      <c r="AO12" s="4">
        <v>71</v>
      </c>
      <c r="AP12" s="4">
        <v>71</v>
      </c>
      <c r="AQ12" s="4">
        <v>44</v>
      </c>
      <c r="AR12" s="5">
        <v>41</v>
      </c>
      <c r="AT12" s="3">
        <v>0.5625</v>
      </c>
      <c r="AU12" s="14">
        <f t="shared" si="2"/>
        <v>83.833333333333329</v>
      </c>
      <c r="AV12" s="14">
        <f t="shared" si="0"/>
        <v>82.833333333333329</v>
      </c>
      <c r="AW12" s="14">
        <f t="shared" si="0"/>
        <v>77.833333333333329</v>
      </c>
      <c r="AX12" s="14">
        <f t="shared" si="0"/>
        <v>71</v>
      </c>
      <c r="AY12" s="14">
        <f t="shared" si="0"/>
        <v>71.833333333333329</v>
      </c>
      <c r="AZ12" s="14">
        <f t="shared" si="0"/>
        <v>44.833333333333336</v>
      </c>
      <c r="BA12" s="15">
        <f t="shared" si="0"/>
        <v>41.666666666666664</v>
      </c>
      <c r="BC12" s="3">
        <v>0.5625</v>
      </c>
      <c r="BD12" s="17">
        <f t="shared" si="3"/>
        <v>4.1965626564325065E-2</v>
      </c>
      <c r="BE12" s="17">
        <f t="shared" si="4"/>
        <v>4.5479502196193282E-2</v>
      </c>
      <c r="BF12" s="17">
        <f t="shared" si="5"/>
        <v>4.3453987159207237E-2</v>
      </c>
      <c r="BG12" s="17">
        <f t="shared" si="6"/>
        <v>3.9129236704326276E-2</v>
      </c>
      <c r="BH12" s="17">
        <f t="shared" si="7"/>
        <v>4.4765267968425441E-2</v>
      </c>
      <c r="BI12" s="17">
        <f t="shared" si="8"/>
        <v>3.785533352096819E-2</v>
      </c>
      <c r="BJ12" s="18">
        <f t="shared" si="9"/>
        <v>4.1322314049586799E-2</v>
      </c>
    </row>
    <row r="13" spans="2:62" ht="15" thickBot="1" x14ac:dyDescent="0.35">
      <c r="B13" s="3">
        <v>0.58333333333333337</v>
      </c>
      <c r="C13" s="6">
        <v>89</v>
      </c>
      <c r="D13" s="4">
        <v>77</v>
      </c>
      <c r="E13" s="4">
        <v>84</v>
      </c>
      <c r="F13" s="4">
        <v>78</v>
      </c>
      <c r="G13" s="4">
        <v>72</v>
      </c>
      <c r="H13" s="4">
        <v>42</v>
      </c>
      <c r="I13" s="5">
        <v>42</v>
      </c>
      <c r="J13" s="6">
        <v>90</v>
      </c>
      <c r="K13" s="4">
        <v>78</v>
      </c>
      <c r="L13" s="4">
        <v>85</v>
      </c>
      <c r="M13" s="4">
        <v>79</v>
      </c>
      <c r="N13" s="4">
        <v>73</v>
      </c>
      <c r="O13" s="4">
        <v>43</v>
      </c>
      <c r="P13" s="5">
        <v>43</v>
      </c>
      <c r="Q13" s="6">
        <v>91</v>
      </c>
      <c r="R13" s="4">
        <v>79</v>
      </c>
      <c r="S13" s="4">
        <v>86</v>
      </c>
      <c r="T13" s="4">
        <v>80</v>
      </c>
      <c r="U13" s="4">
        <v>74</v>
      </c>
      <c r="V13" s="4">
        <v>43</v>
      </c>
      <c r="W13" s="5">
        <v>43</v>
      </c>
      <c r="X13" s="6">
        <v>88</v>
      </c>
      <c r="Y13" s="4">
        <v>76</v>
      </c>
      <c r="Z13" s="4">
        <v>83</v>
      </c>
      <c r="AA13" s="4">
        <v>77</v>
      </c>
      <c r="AB13" s="4">
        <v>71</v>
      </c>
      <c r="AC13" s="4">
        <v>41</v>
      </c>
      <c r="AD13" s="5">
        <v>41</v>
      </c>
      <c r="AE13" s="6">
        <v>87</v>
      </c>
      <c r="AF13" s="4">
        <v>75</v>
      </c>
      <c r="AG13" s="4">
        <v>82</v>
      </c>
      <c r="AH13" s="4">
        <v>76</v>
      </c>
      <c r="AI13" s="4">
        <v>70</v>
      </c>
      <c r="AJ13" s="4">
        <v>40</v>
      </c>
      <c r="AK13" s="5">
        <v>40</v>
      </c>
      <c r="AL13" s="6">
        <v>88</v>
      </c>
      <c r="AM13" s="4">
        <v>76</v>
      </c>
      <c r="AN13" s="4">
        <v>83</v>
      </c>
      <c r="AO13" s="4">
        <v>77</v>
      </c>
      <c r="AP13" s="4">
        <v>71</v>
      </c>
      <c r="AQ13" s="4">
        <v>41</v>
      </c>
      <c r="AR13" s="5">
        <v>41</v>
      </c>
      <c r="AT13" s="3">
        <v>0.58333333333333337</v>
      </c>
      <c r="AU13" s="14">
        <f t="shared" si="2"/>
        <v>88.833333333333329</v>
      </c>
      <c r="AV13" s="14">
        <f t="shared" si="0"/>
        <v>76.833333333333329</v>
      </c>
      <c r="AW13" s="14">
        <f t="shared" si="0"/>
        <v>83.833333333333329</v>
      </c>
      <c r="AX13" s="14">
        <f t="shared" si="0"/>
        <v>77.833333333333329</v>
      </c>
      <c r="AY13" s="14">
        <f t="shared" si="0"/>
        <v>71.833333333333329</v>
      </c>
      <c r="AZ13" s="14">
        <f t="shared" si="0"/>
        <v>41.666666666666664</v>
      </c>
      <c r="BA13" s="15">
        <f t="shared" si="0"/>
        <v>41.666666666666664</v>
      </c>
      <c r="BC13" s="3">
        <v>0.58333333333333337</v>
      </c>
      <c r="BD13" s="17">
        <f t="shared" si="3"/>
        <v>4.4468546637744057E-2</v>
      </c>
      <c r="BE13" s="17">
        <f t="shared" si="4"/>
        <v>4.2185212298682301E-2</v>
      </c>
      <c r="BF13" s="17">
        <f t="shared" si="5"/>
        <v>4.6803759188610794E-2</v>
      </c>
      <c r="BG13" s="17">
        <f t="shared" si="6"/>
        <v>4.2895196105446877E-2</v>
      </c>
      <c r="BH13" s="17">
        <f t="shared" si="7"/>
        <v>4.4765267968425441E-2</v>
      </c>
      <c r="BI13" s="17">
        <f t="shared" si="8"/>
        <v>3.5181536729524336E-2</v>
      </c>
      <c r="BJ13" s="18">
        <f t="shared" si="9"/>
        <v>4.1322314049586799E-2</v>
      </c>
    </row>
    <row r="14" spans="2:62" ht="15" thickBot="1" x14ac:dyDescent="0.35">
      <c r="B14" s="3">
        <v>0.60416666666666663</v>
      </c>
      <c r="C14" s="6">
        <v>103</v>
      </c>
      <c r="D14" s="4">
        <v>82</v>
      </c>
      <c r="E14" s="4">
        <v>87</v>
      </c>
      <c r="F14" s="4">
        <v>80</v>
      </c>
      <c r="G14" s="4">
        <v>72</v>
      </c>
      <c r="H14" s="4">
        <v>52</v>
      </c>
      <c r="I14" s="5">
        <v>48</v>
      </c>
      <c r="J14" s="6">
        <v>104</v>
      </c>
      <c r="K14" s="4">
        <v>83</v>
      </c>
      <c r="L14" s="4">
        <v>88</v>
      </c>
      <c r="M14" s="4">
        <v>81</v>
      </c>
      <c r="N14" s="4">
        <v>73</v>
      </c>
      <c r="O14" s="4">
        <v>53</v>
      </c>
      <c r="P14" s="5">
        <v>49</v>
      </c>
      <c r="Q14" s="6">
        <v>105</v>
      </c>
      <c r="R14" s="4">
        <v>84</v>
      </c>
      <c r="S14" s="4">
        <v>89</v>
      </c>
      <c r="T14" s="4">
        <v>82</v>
      </c>
      <c r="U14" s="4">
        <v>74</v>
      </c>
      <c r="V14" s="4">
        <v>54</v>
      </c>
      <c r="W14" s="5">
        <v>49</v>
      </c>
      <c r="X14" s="6">
        <v>102</v>
      </c>
      <c r="Y14" s="4">
        <v>81</v>
      </c>
      <c r="Z14" s="4">
        <v>86</v>
      </c>
      <c r="AA14" s="4">
        <v>79</v>
      </c>
      <c r="AB14" s="4">
        <v>71</v>
      </c>
      <c r="AC14" s="4">
        <v>51</v>
      </c>
      <c r="AD14" s="5">
        <v>47</v>
      </c>
      <c r="AE14" s="6">
        <v>101</v>
      </c>
      <c r="AF14" s="4">
        <v>80</v>
      </c>
      <c r="AG14" s="4">
        <v>85</v>
      </c>
      <c r="AH14" s="4">
        <v>78</v>
      </c>
      <c r="AI14" s="4">
        <v>70</v>
      </c>
      <c r="AJ14" s="4">
        <v>50</v>
      </c>
      <c r="AK14" s="5">
        <v>46</v>
      </c>
      <c r="AL14" s="6">
        <v>102</v>
      </c>
      <c r="AM14" s="4">
        <v>81</v>
      </c>
      <c r="AN14" s="4">
        <v>86</v>
      </c>
      <c r="AO14" s="4">
        <v>79</v>
      </c>
      <c r="AP14" s="4">
        <v>71</v>
      </c>
      <c r="AQ14" s="4">
        <v>51</v>
      </c>
      <c r="AR14" s="5">
        <v>47</v>
      </c>
      <c r="AT14" s="3">
        <v>0.60416666666666663</v>
      </c>
      <c r="AU14" s="14">
        <f t="shared" si="2"/>
        <v>102.83333333333333</v>
      </c>
      <c r="AV14" s="14">
        <f t="shared" si="0"/>
        <v>81.833333333333329</v>
      </c>
      <c r="AW14" s="14">
        <f t="shared" si="0"/>
        <v>86.833333333333329</v>
      </c>
      <c r="AX14" s="14">
        <f t="shared" si="0"/>
        <v>79.833333333333329</v>
      </c>
      <c r="AY14" s="14">
        <f t="shared" si="0"/>
        <v>71.833333333333329</v>
      </c>
      <c r="AZ14" s="14">
        <f t="shared" si="0"/>
        <v>51.833333333333336</v>
      </c>
      <c r="BA14" s="15">
        <f t="shared" si="0"/>
        <v>47.666666666666664</v>
      </c>
      <c r="BC14" s="3">
        <v>0.60416666666666663</v>
      </c>
      <c r="BD14" s="17">
        <f t="shared" si="3"/>
        <v>5.1476722843317231E-2</v>
      </c>
      <c r="BE14" s="17">
        <f t="shared" si="4"/>
        <v>4.4930453879941448E-2</v>
      </c>
      <c r="BF14" s="17">
        <f t="shared" si="5"/>
        <v>4.8478645203312569E-2</v>
      </c>
      <c r="BG14" s="17">
        <f t="shared" si="6"/>
        <v>4.3997428125287057E-2</v>
      </c>
      <c r="BH14" s="17">
        <f t="shared" si="7"/>
        <v>4.4765267968425441E-2</v>
      </c>
      <c r="BI14" s="17">
        <f t="shared" si="8"/>
        <v>4.3765831691528284E-2</v>
      </c>
      <c r="BJ14" s="18">
        <f t="shared" si="9"/>
        <v>4.7272727272727293E-2</v>
      </c>
    </row>
    <row r="15" spans="2:62" ht="15" thickBot="1" x14ac:dyDescent="0.35">
      <c r="B15" s="3">
        <v>0.625</v>
      </c>
      <c r="C15" s="6">
        <v>86</v>
      </c>
      <c r="D15" s="4">
        <v>84</v>
      </c>
      <c r="E15" s="4">
        <v>84</v>
      </c>
      <c r="F15" s="4">
        <v>81</v>
      </c>
      <c r="G15" s="4">
        <v>67</v>
      </c>
      <c r="H15" s="4">
        <v>53</v>
      </c>
      <c r="I15" s="5">
        <v>41</v>
      </c>
      <c r="J15" s="6">
        <v>87</v>
      </c>
      <c r="K15" s="4">
        <v>85</v>
      </c>
      <c r="L15" s="4">
        <v>85</v>
      </c>
      <c r="M15" s="4">
        <v>82</v>
      </c>
      <c r="N15" s="4">
        <v>68</v>
      </c>
      <c r="O15" s="4">
        <v>54</v>
      </c>
      <c r="P15" s="5">
        <v>42</v>
      </c>
      <c r="Q15" s="6">
        <v>88</v>
      </c>
      <c r="R15" s="4">
        <v>86</v>
      </c>
      <c r="S15" s="4">
        <v>86</v>
      </c>
      <c r="T15" s="4">
        <v>83</v>
      </c>
      <c r="U15" s="4">
        <v>69</v>
      </c>
      <c r="V15" s="4">
        <v>55</v>
      </c>
      <c r="W15" s="5">
        <v>42</v>
      </c>
      <c r="X15" s="6">
        <v>85</v>
      </c>
      <c r="Y15" s="4">
        <v>83</v>
      </c>
      <c r="Z15" s="4">
        <v>83</v>
      </c>
      <c r="AA15" s="4">
        <v>80</v>
      </c>
      <c r="AB15" s="4">
        <v>66</v>
      </c>
      <c r="AC15" s="4">
        <v>52</v>
      </c>
      <c r="AD15" s="5">
        <v>40</v>
      </c>
      <c r="AE15" s="6">
        <v>84</v>
      </c>
      <c r="AF15" s="4">
        <v>82</v>
      </c>
      <c r="AG15" s="4">
        <v>82</v>
      </c>
      <c r="AH15" s="4">
        <v>79</v>
      </c>
      <c r="AI15" s="4">
        <v>65</v>
      </c>
      <c r="AJ15" s="4">
        <v>51</v>
      </c>
      <c r="AK15" s="5">
        <v>39</v>
      </c>
      <c r="AL15" s="6">
        <v>85</v>
      </c>
      <c r="AM15" s="4">
        <v>83</v>
      </c>
      <c r="AN15" s="4">
        <v>83</v>
      </c>
      <c r="AO15" s="4">
        <v>80</v>
      </c>
      <c r="AP15" s="4">
        <v>66</v>
      </c>
      <c r="AQ15" s="4">
        <v>52</v>
      </c>
      <c r="AR15" s="5">
        <v>40</v>
      </c>
      <c r="AT15" s="3">
        <v>0.625</v>
      </c>
      <c r="AU15" s="14">
        <f t="shared" si="2"/>
        <v>85.833333333333329</v>
      </c>
      <c r="AV15" s="14">
        <f t="shared" si="0"/>
        <v>83.833333333333329</v>
      </c>
      <c r="AW15" s="14">
        <f t="shared" si="0"/>
        <v>83.833333333333329</v>
      </c>
      <c r="AX15" s="14">
        <f t="shared" si="0"/>
        <v>80.833333333333329</v>
      </c>
      <c r="AY15" s="14">
        <f t="shared" si="0"/>
        <v>66.833333333333329</v>
      </c>
      <c r="AZ15" s="14">
        <f t="shared" si="0"/>
        <v>52.833333333333336</v>
      </c>
      <c r="BA15" s="15">
        <f t="shared" si="0"/>
        <v>40.666666666666664</v>
      </c>
      <c r="BC15" s="3">
        <v>0.625</v>
      </c>
      <c r="BD15" s="17">
        <f t="shared" si="3"/>
        <v>4.296679459369266E-2</v>
      </c>
      <c r="BE15" s="17">
        <f t="shared" si="4"/>
        <v>4.6028550512445109E-2</v>
      </c>
      <c r="BF15" s="17">
        <f t="shared" si="5"/>
        <v>4.6803759188610794E-2</v>
      </c>
      <c r="BG15" s="17">
        <f t="shared" si="6"/>
        <v>4.454854413520714E-2</v>
      </c>
      <c r="BH15" s="17">
        <f t="shared" si="7"/>
        <v>4.1649356044869142E-2</v>
      </c>
      <c r="BI15" s="17">
        <f t="shared" si="8"/>
        <v>4.461018857303687E-2</v>
      </c>
      <c r="BJ15" s="18">
        <f t="shared" si="9"/>
        <v>4.0330578512396714E-2</v>
      </c>
    </row>
    <row r="16" spans="2:62" ht="15" thickBot="1" x14ac:dyDescent="0.35">
      <c r="B16" s="3">
        <v>0.64583333333333337</v>
      </c>
      <c r="C16" s="6">
        <v>95</v>
      </c>
      <c r="D16" s="4">
        <v>90</v>
      </c>
      <c r="E16" s="4">
        <v>83</v>
      </c>
      <c r="F16" s="4">
        <v>82</v>
      </c>
      <c r="G16" s="4">
        <v>77</v>
      </c>
      <c r="H16" s="4">
        <v>56</v>
      </c>
      <c r="I16" s="5">
        <v>44</v>
      </c>
      <c r="J16" s="6">
        <v>96</v>
      </c>
      <c r="K16" s="4">
        <v>91</v>
      </c>
      <c r="L16" s="4">
        <v>84</v>
      </c>
      <c r="M16" s="4">
        <v>83</v>
      </c>
      <c r="N16" s="4">
        <v>78</v>
      </c>
      <c r="O16" s="4">
        <v>57</v>
      </c>
      <c r="P16" s="5">
        <v>45</v>
      </c>
      <c r="Q16" s="6">
        <v>97</v>
      </c>
      <c r="R16" s="4">
        <v>92</v>
      </c>
      <c r="S16" s="4">
        <v>85</v>
      </c>
      <c r="T16" s="4">
        <v>84</v>
      </c>
      <c r="U16" s="4">
        <v>79</v>
      </c>
      <c r="V16" s="4">
        <v>58</v>
      </c>
      <c r="W16" s="5">
        <v>45</v>
      </c>
      <c r="X16" s="6">
        <v>94</v>
      </c>
      <c r="Y16" s="4">
        <v>89</v>
      </c>
      <c r="Z16" s="4">
        <v>82</v>
      </c>
      <c r="AA16" s="4">
        <v>81</v>
      </c>
      <c r="AB16" s="4">
        <v>76</v>
      </c>
      <c r="AC16" s="4">
        <v>55</v>
      </c>
      <c r="AD16" s="5">
        <v>43</v>
      </c>
      <c r="AE16" s="6">
        <v>93</v>
      </c>
      <c r="AF16" s="4">
        <v>88</v>
      </c>
      <c r="AG16" s="4">
        <v>81</v>
      </c>
      <c r="AH16" s="4">
        <v>80</v>
      </c>
      <c r="AI16" s="4">
        <v>75</v>
      </c>
      <c r="AJ16" s="4">
        <v>54</v>
      </c>
      <c r="AK16" s="5">
        <v>42</v>
      </c>
      <c r="AL16" s="6">
        <v>94</v>
      </c>
      <c r="AM16" s="4">
        <v>89</v>
      </c>
      <c r="AN16" s="4">
        <v>82</v>
      </c>
      <c r="AO16" s="4">
        <v>81</v>
      </c>
      <c r="AP16" s="4">
        <v>76</v>
      </c>
      <c r="AQ16" s="4">
        <v>55</v>
      </c>
      <c r="AR16" s="5">
        <v>43</v>
      </c>
      <c r="AT16" s="3">
        <v>0.64583333333333337</v>
      </c>
      <c r="AU16" s="14">
        <f t="shared" si="2"/>
        <v>94.833333333333329</v>
      </c>
      <c r="AV16" s="14">
        <f t="shared" si="0"/>
        <v>89.833333333333329</v>
      </c>
      <c r="AW16" s="14">
        <f t="shared" si="0"/>
        <v>82.833333333333329</v>
      </c>
      <c r="AX16" s="14">
        <f t="shared" si="0"/>
        <v>81.833333333333329</v>
      </c>
      <c r="AY16" s="14">
        <f t="shared" si="0"/>
        <v>76.833333333333329</v>
      </c>
      <c r="AZ16" s="14">
        <f t="shared" si="0"/>
        <v>55.833333333333336</v>
      </c>
      <c r="BA16" s="15">
        <f t="shared" si="0"/>
        <v>43.666666666666664</v>
      </c>
      <c r="BC16" s="3">
        <v>0.64583333333333337</v>
      </c>
      <c r="BD16" s="17">
        <f t="shared" si="3"/>
        <v>4.7472050725846843E-2</v>
      </c>
      <c r="BE16" s="17">
        <f t="shared" si="4"/>
        <v>4.9322840409956097E-2</v>
      </c>
      <c r="BF16" s="17">
        <f t="shared" si="5"/>
        <v>4.6245463850376867E-2</v>
      </c>
      <c r="BG16" s="17">
        <f t="shared" si="6"/>
        <v>4.5099660145127229E-2</v>
      </c>
      <c r="BH16" s="17">
        <f t="shared" si="7"/>
        <v>4.7881179891981734E-2</v>
      </c>
      <c r="BI16" s="17">
        <f t="shared" si="8"/>
        <v>4.7143259217562621E-2</v>
      </c>
      <c r="BJ16" s="18">
        <f t="shared" si="9"/>
        <v>4.3305785123966961E-2</v>
      </c>
    </row>
    <row r="17" spans="2:62" ht="15" thickBot="1" x14ac:dyDescent="0.35">
      <c r="B17" s="3">
        <v>0.66666666666666663</v>
      </c>
      <c r="C17" s="6">
        <v>89</v>
      </c>
      <c r="D17" s="4">
        <v>85</v>
      </c>
      <c r="E17" s="4">
        <v>78</v>
      </c>
      <c r="F17" s="4">
        <v>88</v>
      </c>
      <c r="G17" s="4">
        <v>74</v>
      </c>
      <c r="H17" s="4">
        <v>46</v>
      </c>
      <c r="I17" s="5">
        <v>33</v>
      </c>
      <c r="J17" s="6">
        <v>90</v>
      </c>
      <c r="K17" s="4">
        <v>86</v>
      </c>
      <c r="L17" s="4">
        <v>79</v>
      </c>
      <c r="M17" s="4">
        <v>89</v>
      </c>
      <c r="N17" s="4">
        <v>75</v>
      </c>
      <c r="O17" s="4">
        <v>47</v>
      </c>
      <c r="P17" s="5">
        <v>34</v>
      </c>
      <c r="Q17" s="6">
        <v>91</v>
      </c>
      <c r="R17" s="4">
        <v>87</v>
      </c>
      <c r="S17" s="4">
        <v>80</v>
      </c>
      <c r="T17" s="4">
        <v>90</v>
      </c>
      <c r="U17" s="4">
        <v>76</v>
      </c>
      <c r="V17" s="4">
        <v>48</v>
      </c>
      <c r="W17" s="5">
        <v>34</v>
      </c>
      <c r="X17" s="6">
        <v>88</v>
      </c>
      <c r="Y17" s="4">
        <v>84</v>
      </c>
      <c r="Z17" s="4">
        <v>77</v>
      </c>
      <c r="AA17" s="4">
        <v>87</v>
      </c>
      <c r="AB17" s="4">
        <v>73</v>
      </c>
      <c r="AC17" s="4">
        <v>45</v>
      </c>
      <c r="AD17" s="5">
        <v>32</v>
      </c>
      <c r="AE17" s="6">
        <v>87</v>
      </c>
      <c r="AF17" s="4">
        <v>83</v>
      </c>
      <c r="AG17" s="4">
        <v>76</v>
      </c>
      <c r="AH17" s="4">
        <v>86</v>
      </c>
      <c r="AI17" s="4">
        <v>72</v>
      </c>
      <c r="AJ17" s="4">
        <v>44</v>
      </c>
      <c r="AK17" s="5">
        <v>31</v>
      </c>
      <c r="AL17" s="6">
        <v>88</v>
      </c>
      <c r="AM17" s="4">
        <v>84</v>
      </c>
      <c r="AN17" s="4">
        <v>77</v>
      </c>
      <c r="AO17" s="4">
        <v>87</v>
      </c>
      <c r="AP17" s="4">
        <v>73</v>
      </c>
      <c r="AQ17" s="4">
        <v>45</v>
      </c>
      <c r="AR17" s="5">
        <v>32</v>
      </c>
      <c r="AT17" s="3">
        <v>0.66666666666666663</v>
      </c>
      <c r="AU17" s="14">
        <f t="shared" si="2"/>
        <v>88.833333333333329</v>
      </c>
      <c r="AV17" s="14">
        <f t="shared" si="0"/>
        <v>84.833333333333329</v>
      </c>
      <c r="AW17" s="14">
        <f t="shared" si="0"/>
        <v>77.833333333333329</v>
      </c>
      <c r="AX17" s="14">
        <f t="shared" si="0"/>
        <v>87.833333333333329</v>
      </c>
      <c r="AY17" s="14">
        <f t="shared" si="0"/>
        <v>73.833333333333329</v>
      </c>
      <c r="AZ17" s="14">
        <f t="shared" si="0"/>
        <v>45.833333333333336</v>
      </c>
      <c r="BA17" s="15">
        <f t="shared" si="0"/>
        <v>32.666666666666664</v>
      </c>
      <c r="BC17" s="3">
        <v>0.66666666666666663</v>
      </c>
      <c r="BD17" s="17">
        <f t="shared" si="3"/>
        <v>4.4468546637744057E-2</v>
      </c>
      <c r="BE17" s="17">
        <f t="shared" si="4"/>
        <v>4.6577598828696942E-2</v>
      </c>
      <c r="BF17" s="17">
        <f t="shared" si="5"/>
        <v>4.3453987159207237E-2</v>
      </c>
      <c r="BG17" s="17">
        <f t="shared" si="6"/>
        <v>4.8406356204647762E-2</v>
      </c>
      <c r="BH17" s="17">
        <f t="shared" si="7"/>
        <v>4.601163273784796E-2</v>
      </c>
      <c r="BI17" s="17">
        <f t="shared" si="8"/>
        <v>3.8699690402476776E-2</v>
      </c>
      <c r="BJ17" s="18">
        <f t="shared" si="9"/>
        <v>3.2396694214876051E-2</v>
      </c>
    </row>
    <row r="18" spans="2:62" ht="15" thickBot="1" x14ac:dyDescent="0.35">
      <c r="B18" s="3">
        <v>0.6875</v>
      </c>
      <c r="C18" s="6">
        <v>82</v>
      </c>
      <c r="D18" s="4">
        <v>72</v>
      </c>
      <c r="E18" s="4">
        <v>69</v>
      </c>
      <c r="F18" s="4">
        <v>74</v>
      </c>
      <c r="G18" s="4">
        <v>77</v>
      </c>
      <c r="H18" s="4">
        <v>43</v>
      </c>
      <c r="I18" s="5">
        <v>41</v>
      </c>
      <c r="J18" s="6">
        <v>83</v>
      </c>
      <c r="K18" s="4">
        <v>73</v>
      </c>
      <c r="L18" s="4">
        <v>70</v>
      </c>
      <c r="M18" s="4">
        <v>75</v>
      </c>
      <c r="N18" s="4">
        <v>78</v>
      </c>
      <c r="O18" s="4">
        <v>44</v>
      </c>
      <c r="P18" s="5">
        <v>42</v>
      </c>
      <c r="Q18" s="6">
        <v>84</v>
      </c>
      <c r="R18" s="4">
        <v>74</v>
      </c>
      <c r="S18" s="4">
        <v>71</v>
      </c>
      <c r="T18" s="4">
        <v>76</v>
      </c>
      <c r="U18" s="4">
        <v>79</v>
      </c>
      <c r="V18" s="4">
        <v>45</v>
      </c>
      <c r="W18" s="5">
        <v>42</v>
      </c>
      <c r="X18" s="6">
        <v>81</v>
      </c>
      <c r="Y18" s="4">
        <v>71</v>
      </c>
      <c r="Z18" s="4">
        <v>68</v>
      </c>
      <c r="AA18" s="4">
        <v>73</v>
      </c>
      <c r="AB18" s="4">
        <v>76</v>
      </c>
      <c r="AC18" s="4">
        <v>42</v>
      </c>
      <c r="AD18" s="5">
        <v>40</v>
      </c>
      <c r="AE18" s="6">
        <v>80</v>
      </c>
      <c r="AF18" s="4">
        <v>70</v>
      </c>
      <c r="AG18" s="4">
        <v>67</v>
      </c>
      <c r="AH18" s="4">
        <v>72</v>
      </c>
      <c r="AI18" s="4">
        <v>75</v>
      </c>
      <c r="AJ18" s="4">
        <v>41</v>
      </c>
      <c r="AK18" s="5">
        <v>39</v>
      </c>
      <c r="AL18" s="6">
        <v>81</v>
      </c>
      <c r="AM18" s="4">
        <v>71</v>
      </c>
      <c r="AN18" s="4">
        <v>68</v>
      </c>
      <c r="AO18" s="4">
        <v>73</v>
      </c>
      <c r="AP18" s="4">
        <v>76</v>
      </c>
      <c r="AQ18" s="4">
        <v>42</v>
      </c>
      <c r="AR18" s="5">
        <v>40</v>
      </c>
      <c r="AT18" s="3">
        <v>0.6875</v>
      </c>
      <c r="AU18" s="14">
        <f t="shared" si="2"/>
        <v>81.833333333333329</v>
      </c>
      <c r="AV18" s="14">
        <f t="shared" si="0"/>
        <v>71.833333333333329</v>
      </c>
      <c r="AW18" s="14">
        <f t="shared" si="0"/>
        <v>68.833333333333329</v>
      </c>
      <c r="AX18" s="14">
        <f t="shared" si="0"/>
        <v>73.833333333333329</v>
      </c>
      <c r="AY18" s="14">
        <f t="shared" si="0"/>
        <v>76.833333333333329</v>
      </c>
      <c r="AZ18" s="14">
        <f t="shared" si="0"/>
        <v>42.833333333333336</v>
      </c>
      <c r="BA18" s="15">
        <f t="shared" si="0"/>
        <v>40.666666666666664</v>
      </c>
      <c r="BC18" s="3">
        <v>0.6875</v>
      </c>
      <c r="BD18" s="17">
        <f t="shared" si="3"/>
        <v>4.0964458534957469E-2</v>
      </c>
      <c r="BE18" s="17">
        <f t="shared" si="4"/>
        <v>3.9439970717423146E-2</v>
      </c>
      <c r="BF18" s="17">
        <f t="shared" si="5"/>
        <v>3.8429329115101905E-2</v>
      </c>
      <c r="BG18" s="17">
        <f t="shared" si="6"/>
        <v>4.0690732065766524E-2</v>
      </c>
      <c r="BH18" s="17">
        <f t="shared" si="7"/>
        <v>4.7881179891981734E-2</v>
      </c>
      <c r="BI18" s="17">
        <f t="shared" si="8"/>
        <v>3.6166619757951025E-2</v>
      </c>
      <c r="BJ18" s="18">
        <f t="shared" si="9"/>
        <v>4.0330578512396714E-2</v>
      </c>
    </row>
    <row r="19" spans="2:62" ht="15" thickBot="1" x14ac:dyDescent="0.35">
      <c r="B19" s="3">
        <v>0.70833333333333337</v>
      </c>
      <c r="C19" s="6">
        <v>85</v>
      </c>
      <c r="D19" s="4">
        <v>71</v>
      </c>
      <c r="E19" s="4">
        <v>71</v>
      </c>
      <c r="F19" s="4">
        <v>80</v>
      </c>
      <c r="G19" s="4">
        <v>63</v>
      </c>
      <c r="H19" s="4">
        <v>44</v>
      </c>
      <c r="I19" s="5">
        <v>36</v>
      </c>
      <c r="J19" s="6">
        <v>86</v>
      </c>
      <c r="K19" s="4">
        <v>72</v>
      </c>
      <c r="L19" s="4">
        <v>72</v>
      </c>
      <c r="M19" s="4">
        <v>81</v>
      </c>
      <c r="N19" s="4">
        <v>64</v>
      </c>
      <c r="O19" s="4">
        <v>45</v>
      </c>
      <c r="P19" s="5">
        <v>37</v>
      </c>
      <c r="Q19" s="6">
        <v>87</v>
      </c>
      <c r="R19" s="4">
        <v>73</v>
      </c>
      <c r="S19" s="4">
        <v>73</v>
      </c>
      <c r="T19" s="4">
        <v>82</v>
      </c>
      <c r="U19" s="4">
        <v>65</v>
      </c>
      <c r="V19" s="4">
        <v>46</v>
      </c>
      <c r="W19" s="5">
        <v>37</v>
      </c>
      <c r="X19" s="6">
        <v>84</v>
      </c>
      <c r="Y19" s="4">
        <v>70</v>
      </c>
      <c r="Z19" s="4">
        <v>70</v>
      </c>
      <c r="AA19" s="4">
        <v>79</v>
      </c>
      <c r="AB19" s="4">
        <v>62</v>
      </c>
      <c r="AC19" s="4">
        <v>43</v>
      </c>
      <c r="AD19" s="5">
        <v>35</v>
      </c>
      <c r="AE19" s="6">
        <v>83</v>
      </c>
      <c r="AF19" s="4">
        <v>69</v>
      </c>
      <c r="AG19" s="4">
        <v>69</v>
      </c>
      <c r="AH19" s="4">
        <v>78</v>
      </c>
      <c r="AI19" s="4">
        <v>61</v>
      </c>
      <c r="AJ19" s="4">
        <v>42</v>
      </c>
      <c r="AK19" s="5">
        <v>34</v>
      </c>
      <c r="AL19" s="6">
        <v>84</v>
      </c>
      <c r="AM19" s="4">
        <v>70</v>
      </c>
      <c r="AN19" s="4">
        <v>70</v>
      </c>
      <c r="AO19" s="4">
        <v>79</v>
      </c>
      <c r="AP19" s="4">
        <v>62</v>
      </c>
      <c r="AQ19" s="4">
        <v>43</v>
      </c>
      <c r="AR19" s="5">
        <v>35</v>
      </c>
      <c r="AT19" s="3">
        <v>0.70833333333333337</v>
      </c>
      <c r="AU19" s="14">
        <f t="shared" si="2"/>
        <v>84.833333333333329</v>
      </c>
      <c r="AV19" s="14">
        <f t="shared" si="2"/>
        <v>70.833333333333329</v>
      </c>
      <c r="AW19" s="14">
        <f t="shared" si="2"/>
        <v>70.833333333333329</v>
      </c>
      <c r="AX19" s="14">
        <f t="shared" si="2"/>
        <v>79.833333333333329</v>
      </c>
      <c r="AY19" s="14">
        <f t="shared" si="2"/>
        <v>62.833333333333336</v>
      </c>
      <c r="AZ19" s="14">
        <f t="shared" si="2"/>
        <v>43.833333333333336</v>
      </c>
      <c r="BA19" s="15">
        <f t="shared" si="2"/>
        <v>35.666666666666664</v>
      </c>
      <c r="BC19" s="3">
        <v>0.70833333333333337</v>
      </c>
      <c r="BD19" s="17">
        <f t="shared" si="3"/>
        <v>4.2466210579008866E-2</v>
      </c>
      <c r="BE19" s="17">
        <f t="shared" si="4"/>
        <v>3.889092240117132E-2</v>
      </c>
      <c r="BF19" s="17">
        <f t="shared" si="5"/>
        <v>3.9545919791569753E-2</v>
      </c>
      <c r="BG19" s="17">
        <f t="shared" si="6"/>
        <v>4.3997428125287057E-2</v>
      </c>
      <c r="BH19" s="17">
        <f t="shared" si="7"/>
        <v>3.9156626506024111E-2</v>
      </c>
      <c r="BI19" s="17">
        <f t="shared" si="8"/>
        <v>3.7010976639459611E-2</v>
      </c>
      <c r="BJ19" s="18">
        <f t="shared" si="9"/>
        <v>3.5371900826446298E-2</v>
      </c>
    </row>
    <row r="20" spans="2:62" ht="15" thickBot="1" x14ac:dyDescent="0.35">
      <c r="B20" s="3">
        <v>0.72916666666666663</v>
      </c>
      <c r="C20" s="6">
        <v>65</v>
      </c>
      <c r="D20" s="4">
        <v>61</v>
      </c>
      <c r="E20" s="4">
        <v>50</v>
      </c>
      <c r="F20" s="4">
        <v>63</v>
      </c>
      <c r="G20" s="4">
        <v>55</v>
      </c>
      <c r="H20" s="4">
        <v>38</v>
      </c>
      <c r="I20" s="5">
        <v>40</v>
      </c>
      <c r="J20" s="6">
        <v>66</v>
      </c>
      <c r="K20" s="4">
        <v>62</v>
      </c>
      <c r="L20" s="4">
        <v>51</v>
      </c>
      <c r="M20" s="4">
        <v>64</v>
      </c>
      <c r="N20" s="4">
        <v>56</v>
      </c>
      <c r="O20" s="4">
        <v>39</v>
      </c>
      <c r="P20" s="5">
        <v>41</v>
      </c>
      <c r="Q20" s="6">
        <v>67</v>
      </c>
      <c r="R20" s="4">
        <v>63</v>
      </c>
      <c r="S20" s="4">
        <v>52</v>
      </c>
      <c r="T20" s="4">
        <v>65</v>
      </c>
      <c r="U20" s="4">
        <v>57</v>
      </c>
      <c r="V20" s="4">
        <v>40</v>
      </c>
      <c r="W20" s="5">
        <v>41</v>
      </c>
      <c r="X20" s="6">
        <v>64</v>
      </c>
      <c r="Y20" s="4">
        <v>60</v>
      </c>
      <c r="Z20" s="4">
        <v>49</v>
      </c>
      <c r="AA20" s="4">
        <v>62</v>
      </c>
      <c r="AB20" s="4">
        <v>54</v>
      </c>
      <c r="AC20" s="4">
        <v>37</v>
      </c>
      <c r="AD20" s="5">
        <v>39</v>
      </c>
      <c r="AE20" s="6">
        <v>63</v>
      </c>
      <c r="AF20" s="4">
        <v>59</v>
      </c>
      <c r="AG20" s="4">
        <v>48</v>
      </c>
      <c r="AH20" s="4">
        <v>61</v>
      </c>
      <c r="AI20" s="4">
        <v>53</v>
      </c>
      <c r="AJ20" s="4">
        <v>36</v>
      </c>
      <c r="AK20" s="5">
        <v>38</v>
      </c>
      <c r="AL20" s="6">
        <v>64</v>
      </c>
      <c r="AM20" s="4">
        <v>60</v>
      </c>
      <c r="AN20" s="4">
        <v>49</v>
      </c>
      <c r="AO20" s="4">
        <v>62</v>
      </c>
      <c r="AP20" s="4">
        <v>54</v>
      </c>
      <c r="AQ20" s="4">
        <v>37</v>
      </c>
      <c r="AR20" s="5">
        <v>39</v>
      </c>
      <c r="AT20" s="3">
        <v>0.72916666666666663</v>
      </c>
      <c r="AU20" s="14">
        <f t="shared" si="2"/>
        <v>64.833333333333329</v>
      </c>
      <c r="AV20" s="14">
        <f t="shared" si="2"/>
        <v>60.833333333333336</v>
      </c>
      <c r="AW20" s="14">
        <f t="shared" si="2"/>
        <v>49.833333333333336</v>
      </c>
      <c r="AX20" s="14">
        <f t="shared" si="2"/>
        <v>62.833333333333336</v>
      </c>
      <c r="AY20" s="14">
        <f t="shared" si="2"/>
        <v>54.833333333333336</v>
      </c>
      <c r="AZ20" s="14">
        <f t="shared" si="2"/>
        <v>37.833333333333336</v>
      </c>
      <c r="BA20" s="15">
        <f t="shared" si="2"/>
        <v>39.666666666666664</v>
      </c>
      <c r="BC20" s="3">
        <v>0.72916666666666663</v>
      </c>
      <c r="BD20" s="17">
        <f t="shared" si="3"/>
        <v>3.2454530285332905E-2</v>
      </c>
      <c r="BE20" s="17">
        <f t="shared" si="4"/>
        <v>3.3400439238653018E-2</v>
      </c>
      <c r="BF20" s="17">
        <f t="shared" si="5"/>
        <v>2.7821717688657314E-2</v>
      </c>
      <c r="BG20" s="17">
        <f t="shared" si="6"/>
        <v>3.4628455956645557E-2</v>
      </c>
      <c r="BH20" s="17">
        <f t="shared" si="7"/>
        <v>3.4171167428334037E-2</v>
      </c>
      <c r="BI20" s="17">
        <f t="shared" si="8"/>
        <v>3.1944835350408103E-2</v>
      </c>
      <c r="BJ20" s="18">
        <f t="shared" si="9"/>
        <v>3.933884297520663E-2</v>
      </c>
    </row>
    <row r="21" spans="2:62" ht="15" thickBot="1" x14ac:dyDescent="0.35">
      <c r="B21" s="3">
        <v>0.75</v>
      </c>
      <c r="C21" s="6">
        <v>56</v>
      </c>
      <c r="D21" s="4">
        <v>50</v>
      </c>
      <c r="E21" s="4">
        <v>54</v>
      </c>
      <c r="F21" s="4">
        <v>45</v>
      </c>
      <c r="G21" s="4">
        <v>49</v>
      </c>
      <c r="H21" s="4">
        <v>30</v>
      </c>
      <c r="I21" s="5">
        <v>31</v>
      </c>
      <c r="J21" s="6">
        <v>57</v>
      </c>
      <c r="K21" s="4">
        <v>51</v>
      </c>
      <c r="L21" s="4">
        <v>55</v>
      </c>
      <c r="M21" s="4">
        <v>46</v>
      </c>
      <c r="N21" s="4">
        <v>50</v>
      </c>
      <c r="O21" s="4">
        <v>31</v>
      </c>
      <c r="P21" s="5">
        <v>32</v>
      </c>
      <c r="Q21" s="6">
        <v>58</v>
      </c>
      <c r="R21" s="4">
        <v>52</v>
      </c>
      <c r="S21" s="4">
        <v>56</v>
      </c>
      <c r="T21" s="4">
        <v>47</v>
      </c>
      <c r="U21" s="4">
        <v>51</v>
      </c>
      <c r="V21" s="4">
        <v>32</v>
      </c>
      <c r="W21" s="5">
        <v>32</v>
      </c>
      <c r="X21" s="6">
        <v>55</v>
      </c>
      <c r="Y21" s="4">
        <v>49</v>
      </c>
      <c r="Z21" s="4">
        <v>53</v>
      </c>
      <c r="AA21" s="4">
        <v>44</v>
      </c>
      <c r="AB21" s="4">
        <v>48</v>
      </c>
      <c r="AC21" s="4">
        <v>29</v>
      </c>
      <c r="AD21" s="5">
        <v>30</v>
      </c>
      <c r="AE21" s="6">
        <v>54</v>
      </c>
      <c r="AF21" s="4">
        <v>48</v>
      </c>
      <c r="AG21" s="4">
        <v>52</v>
      </c>
      <c r="AH21" s="4">
        <v>43</v>
      </c>
      <c r="AI21" s="4">
        <v>47</v>
      </c>
      <c r="AJ21" s="4">
        <v>28</v>
      </c>
      <c r="AK21" s="5">
        <v>29</v>
      </c>
      <c r="AL21" s="6">
        <v>55</v>
      </c>
      <c r="AM21" s="4">
        <v>49</v>
      </c>
      <c r="AN21" s="4">
        <v>53</v>
      </c>
      <c r="AO21" s="4">
        <v>44</v>
      </c>
      <c r="AP21" s="4">
        <v>48</v>
      </c>
      <c r="AQ21" s="4">
        <v>29</v>
      </c>
      <c r="AR21" s="5">
        <v>30</v>
      </c>
      <c r="AT21" s="3">
        <v>0.75</v>
      </c>
      <c r="AU21" s="14">
        <f t="shared" ref="AU21:BA32" si="10">AVERAGEIF($C$2:$AR$2,AU$2,$C21:$AR21)</f>
        <v>55.833333333333336</v>
      </c>
      <c r="AV21" s="14">
        <f t="shared" si="10"/>
        <v>49.833333333333336</v>
      </c>
      <c r="AW21" s="14">
        <f t="shared" si="10"/>
        <v>53.833333333333336</v>
      </c>
      <c r="AX21" s="14">
        <f t="shared" si="10"/>
        <v>44.833333333333336</v>
      </c>
      <c r="AY21" s="14">
        <f t="shared" si="10"/>
        <v>48.833333333333336</v>
      </c>
      <c r="AZ21" s="14">
        <f t="shared" si="10"/>
        <v>29.833333333333332</v>
      </c>
      <c r="BA21" s="15">
        <f t="shared" si="10"/>
        <v>30.666666666666668</v>
      </c>
      <c r="BC21" s="3">
        <v>0.75</v>
      </c>
      <c r="BD21" s="17">
        <f t="shared" si="3"/>
        <v>2.7949274153178723E-2</v>
      </c>
      <c r="BE21" s="17">
        <f t="shared" si="4"/>
        <v>2.7360907759882883E-2</v>
      </c>
      <c r="BF21" s="17">
        <f t="shared" si="5"/>
        <v>3.0054899041593017E-2</v>
      </c>
      <c r="BG21" s="17">
        <f t="shared" si="6"/>
        <v>2.4708367778083964E-2</v>
      </c>
      <c r="BH21" s="17">
        <f t="shared" si="7"/>
        <v>3.0432073120066485E-2</v>
      </c>
      <c r="BI21" s="17">
        <f t="shared" si="8"/>
        <v>2.5189980298339427E-2</v>
      </c>
      <c r="BJ21" s="18">
        <f t="shared" si="9"/>
        <v>3.0413223140495885E-2</v>
      </c>
    </row>
    <row r="22" spans="2:62" ht="15" thickBot="1" x14ac:dyDescent="0.35">
      <c r="B22" s="3">
        <v>0.77083333333333337</v>
      </c>
      <c r="C22" s="6">
        <v>56</v>
      </c>
      <c r="D22" s="4">
        <v>61</v>
      </c>
      <c r="E22" s="4">
        <v>50</v>
      </c>
      <c r="F22" s="4">
        <v>48</v>
      </c>
      <c r="G22" s="4">
        <v>39</v>
      </c>
      <c r="H22" s="4">
        <v>35</v>
      </c>
      <c r="I22" s="5">
        <v>32</v>
      </c>
      <c r="J22" s="6">
        <v>57</v>
      </c>
      <c r="K22" s="4">
        <v>62</v>
      </c>
      <c r="L22" s="4">
        <v>51</v>
      </c>
      <c r="M22" s="4">
        <v>49</v>
      </c>
      <c r="N22" s="4">
        <v>40</v>
      </c>
      <c r="O22" s="4">
        <v>36</v>
      </c>
      <c r="P22" s="5">
        <v>33</v>
      </c>
      <c r="Q22" s="6">
        <v>58</v>
      </c>
      <c r="R22" s="4">
        <v>63</v>
      </c>
      <c r="S22" s="4">
        <v>52</v>
      </c>
      <c r="T22" s="4">
        <v>50</v>
      </c>
      <c r="U22" s="4">
        <v>41</v>
      </c>
      <c r="V22" s="4">
        <v>37</v>
      </c>
      <c r="W22" s="5">
        <v>33</v>
      </c>
      <c r="X22" s="6">
        <v>55</v>
      </c>
      <c r="Y22" s="4">
        <v>60</v>
      </c>
      <c r="Z22" s="4">
        <v>49</v>
      </c>
      <c r="AA22" s="4">
        <v>47</v>
      </c>
      <c r="AB22" s="4">
        <v>38</v>
      </c>
      <c r="AC22" s="4">
        <v>34</v>
      </c>
      <c r="AD22" s="5">
        <v>31</v>
      </c>
      <c r="AE22" s="6">
        <v>54</v>
      </c>
      <c r="AF22" s="4">
        <v>59</v>
      </c>
      <c r="AG22" s="4">
        <v>48</v>
      </c>
      <c r="AH22" s="4">
        <v>46</v>
      </c>
      <c r="AI22" s="4">
        <v>37</v>
      </c>
      <c r="AJ22" s="4">
        <v>33</v>
      </c>
      <c r="AK22" s="5">
        <v>30</v>
      </c>
      <c r="AL22" s="6">
        <v>55</v>
      </c>
      <c r="AM22" s="4">
        <v>60</v>
      </c>
      <c r="AN22" s="4">
        <v>49</v>
      </c>
      <c r="AO22" s="4">
        <v>47</v>
      </c>
      <c r="AP22" s="4">
        <v>38</v>
      </c>
      <c r="AQ22" s="4">
        <v>34</v>
      </c>
      <c r="AR22" s="5">
        <v>31</v>
      </c>
      <c r="AT22" s="3">
        <v>0.77083333333333337</v>
      </c>
      <c r="AU22" s="14">
        <f t="shared" si="10"/>
        <v>55.833333333333336</v>
      </c>
      <c r="AV22" s="14">
        <f t="shared" si="10"/>
        <v>60.833333333333336</v>
      </c>
      <c r="AW22" s="14">
        <f t="shared" si="10"/>
        <v>49.833333333333336</v>
      </c>
      <c r="AX22" s="14">
        <f t="shared" si="10"/>
        <v>47.833333333333336</v>
      </c>
      <c r="AY22" s="14">
        <f t="shared" si="10"/>
        <v>38.833333333333336</v>
      </c>
      <c r="AZ22" s="14">
        <f t="shared" si="10"/>
        <v>34.833333333333336</v>
      </c>
      <c r="BA22" s="15">
        <f t="shared" si="10"/>
        <v>31.666666666666668</v>
      </c>
      <c r="BC22" s="3">
        <v>0.77083333333333337</v>
      </c>
      <c r="BD22" s="17">
        <f t="shared" si="3"/>
        <v>2.7949274153178723E-2</v>
      </c>
      <c r="BE22" s="17">
        <f t="shared" si="4"/>
        <v>3.3400439238653018E-2</v>
      </c>
      <c r="BF22" s="17">
        <f t="shared" si="5"/>
        <v>2.7821717688657314E-2</v>
      </c>
      <c r="BG22" s="17">
        <f t="shared" si="6"/>
        <v>2.636171580784423E-2</v>
      </c>
      <c r="BH22" s="17">
        <f t="shared" si="7"/>
        <v>2.4200249272953896E-2</v>
      </c>
      <c r="BI22" s="17">
        <f t="shared" si="8"/>
        <v>2.9411764705882353E-2</v>
      </c>
      <c r="BJ22" s="18">
        <f t="shared" si="9"/>
        <v>3.1404958677685967E-2</v>
      </c>
    </row>
    <row r="23" spans="2:62" ht="15" thickBot="1" x14ac:dyDescent="0.35">
      <c r="B23" s="3">
        <v>0.79166666666666663</v>
      </c>
      <c r="C23" s="6">
        <v>53</v>
      </c>
      <c r="D23" s="4">
        <v>43</v>
      </c>
      <c r="E23" s="4">
        <v>42</v>
      </c>
      <c r="F23" s="4">
        <v>47</v>
      </c>
      <c r="G23" s="4">
        <v>37</v>
      </c>
      <c r="H23" s="4">
        <v>26</v>
      </c>
      <c r="I23" s="5">
        <v>28</v>
      </c>
      <c r="J23" s="6">
        <v>54</v>
      </c>
      <c r="K23" s="4">
        <v>44</v>
      </c>
      <c r="L23" s="4">
        <v>43</v>
      </c>
      <c r="M23" s="4">
        <v>48</v>
      </c>
      <c r="N23" s="4">
        <v>38</v>
      </c>
      <c r="O23" s="4">
        <v>27</v>
      </c>
      <c r="P23" s="5">
        <v>29</v>
      </c>
      <c r="Q23" s="6">
        <v>55</v>
      </c>
      <c r="R23" s="4">
        <v>45</v>
      </c>
      <c r="S23" s="4">
        <v>44</v>
      </c>
      <c r="T23" s="4">
        <v>49</v>
      </c>
      <c r="U23" s="4">
        <v>39</v>
      </c>
      <c r="V23" s="4">
        <v>28</v>
      </c>
      <c r="W23" s="5">
        <v>29</v>
      </c>
      <c r="X23" s="6">
        <v>52</v>
      </c>
      <c r="Y23" s="4">
        <v>42</v>
      </c>
      <c r="Z23" s="4">
        <v>41</v>
      </c>
      <c r="AA23" s="4">
        <v>46</v>
      </c>
      <c r="AB23" s="4">
        <v>36</v>
      </c>
      <c r="AC23" s="4">
        <v>25</v>
      </c>
      <c r="AD23" s="5">
        <v>27</v>
      </c>
      <c r="AE23" s="6">
        <v>51</v>
      </c>
      <c r="AF23" s="4">
        <v>41</v>
      </c>
      <c r="AG23" s="4">
        <v>40</v>
      </c>
      <c r="AH23" s="4">
        <v>45</v>
      </c>
      <c r="AI23" s="4">
        <v>35</v>
      </c>
      <c r="AJ23" s="4">
        <v>24</v>
      </c>
      <c r="AK23" s="5">
        <v>26</v>
      </c>
      <c r="AL23" s="6">
        <v>52</v>
      </c>
      <c r="AM23" s="4">
        <v>42</v>
      </c>
      <c r="AN23" s="4">
        <v>41</v>
      </c>
      <c r="AO23" s="4">
        <v>46</v>
      </c>
      <c r="AP23" s="4">
        <v>36</v>
      </c>
      <c r="AQ23" s="4">
        <v>25</v>
      </c>
      <c r="AR23" s="5">
        <v>27</v>
      </c>
      <c r="AT23" s="3">
        <v>0.79166666666666663</v>
      </c>
      <c r="AU23" s="14">
        <f t="shared" si="10"/>
        <v>52.833333333333336</v>
      </c>
      <c r="AV23" s="14">
        <f t="shared" si="10"/>
        <v>42.833333333333336</v>
      </c>
      <c r="AW23" s="14">
        <f t="shared" si="10"/>
        <v>41.833333333333336</v>
      </c>
      <c r="AX23" s="14">
        <f t="shared" si="10"/>
        <v>46.833333333333336</v>
      </c>
      <c r="AY23" s="14">
        <f t="shared" si="10"/>
        <v>36.833333333333336</v>
      </c>
      <c r="AZ23" s="14">
        <f t="shared" si="10"/>
        <v>25.833333333333332</v>
      </c>
      <c r="BA23" s="15">
        <f t="shared" si="10"/>
        <v>27.666666666666668</v>
      </c>
      <c r="BC23" s="3">
        <v>0.79166666666666663</v>
      </c>
      <c r="BD23" s="17">
        <f t="shared" si="3"/>
        <v>2.644752210912733E-2</v>
      </c>
      <c r="BE23" s="17">
        <f t="shared" si="4"/>
        <v>2.3517569546120071E-2</v>
      </c>
      <c r="BF23" s="17">
        <f t="shared" si="5"/>
        <v>2.3355354982785907E-2</v>
      </c>
      <c r="BG23" s="17">
        <f t="shared" si="6"/>
        <v>2.581059979792414E-2</v>
      </c>
      <c r="BH23" s="17">
        <f t="shared" si="7"/>
        <v>2.2953884503531377E-2</v>
      </c>
      <c r="BI23" s="17">
        <f t="shared" si="8"/>
        <v>2.181255277230509E-2</v>
      </c>
      <c r="BJ23" s="18">
        <f t="shared" si="9"/>
        <v>2.7438016528925635E-2</v>
      </c>
    </row>
    <row r="24" spans="2:62" ht="15" thickBot="1" x14ac:dyDescent="0.35">
      <c r="B24" s="3">
        <v>0.8125</v>
      </c>
      <c r="C24" s="6">
        <v>44</v>
      </c>
      <c r="D24" s="4">
        <v>42</v>
      </c>
      <c r="E24" s="4">
        <v>44</v>
      </c>
      <c r="F24" s="4">
        <v>38</v>
      </c>
      <c r="G24" s="4">
        <v>33</v>
      </c>
      <c r="H24" s="4">
        <v>26</v>
      </c>
      <c r="I24" s="5">
        <v>28</v>
      </c>
      <c r="J24" s="6">
        <v>45</v>
      </c>
      <c r="K24" s="4">
        <v>43</v>
      </c>
      <c r="L24" s="4">
        <v>45</v>
      </c>
      <c r="M24" s="4">
        <v>39</v>
      </c>
      <c r="N24" s="4">
        <v>34</v>
      </c>
      <c r="O24" s="4">
        <v>27</v>
      </c>
      <c r="P24" s="5">
        <v>29</v>
      </c>
      <c r="Q24" s="6">
        <v>46</v>
      </c>
      <c r="R24" s="4">
        <v>44</v>
      </c>
      <c r="S24" s="4">
        <v>46</v>
      </c>
      <c r="T24" s="4">
        <v>40</v>
      </c>
      <c r="U24" s="4">
        <v>35</v>
      </c>
      <c r="V24" s="4">
        <v>28</v>
      </c>
      <c r="W24" s="5">
        <v>29</v>
      </c>
      <c r="X24" s="6">
        <v>43</v>
      </c>
      <c r="Y24" s="4">
        <v>41</v>
      </c>
      <c r="Z24" s="4">
        <v>43</v>
      </c>
      <c r="AA24" s="4">
        <v>37</v>
      </c>
      <c r="AB24" s="4">
        <v>32</v>
      </c>
      <c r="AC24" s="4">
        <v>25</v>
      </c>
      <c r="AD24" s="5">
        <v>27</v>
      </c>
      <c r="AE24" s="6">
        <v>42</v>
      </c>
      <c r="AF24" s="4">
        <v>40</v>
      </c>
      <c r="AG24" s="4">
        <v>42</v>
      </c>
      <c r="AH24" s="4">
        <v>36</v>
      </c>
      <c r="AI24" s="4">
        <v>31</v>
      </c>
      <c r="AJ24" s="4">
        <v>24</v>
      </c>
      <c r="AK24" s="5">
        <v>26</v>
      </c>
      <c r="AL24" s="6">
        <v>43</v>
      </c>
      <c r="AM24" s="4">
        <v>41</v>
      </c>
      <c r="AN24" s="4">
        <v>43</v>
      </c>
      <c r="AO24" s="4">
        <v>37</v>
      </c>
      <c r="AP24" s="4">
        <v>32</v>
      </c>
      <c r="AQ24" s="4">
        <v>25</v>
      </c>
      <c r="AR24" s="5">
        <v>27</v>
      </c>
      <c r="AT24" s="3">
        <v>0.8125</v>
      </c>
      <c r="AU24" s="14">
        <f t="shared" si="10"/>
        <v>43.833333333333336</v>
      </c>
      <c r="AV24" s="14">
        <f t="shared" si="10"/>
        <v>41.833333333333336</v>
      </c>
      <c r="AW24" s="14">
        <f t="shared" si="10"/>
        <v>43.833333333333336</v>
      </c>
      <c r="AX24" s="14">
        <f t="shared" si="10"/>
        <v>37.833333333333336</v>
      </c>
      <c r="AY24" s="14">
        <f t="shared" si="10"/>
        <v>32.833333333333336</v>
      </c>
      <c r="AZ24" s="14">
        <f t="shared" si="10"/>
        <v>25.833333333333332</v>
      </c>
      <c r="BA24" s="15">
        <f t="shared" si="10"/>
        <v>27.666666666666668</v>
      </c>
      <c r="BC24" s="3">
        <v>0.8125</v>
      </c>
      <c r="BD24" s="17">
        <f t="shared" si="3"/>
        <v>2.1942265976973147E-2</v>
      </c>
      <c r="BE24" s="17">
        <f t="shared" si="4"/>
        <v>2.2968521229868238E-2</v>
      </c>
      <c r="BF24" s="17">
        <f t="shared" si="5"/>
        <v>2.4471945659253758E-2</v>
      </c>
      <c r="BG24" s="17">
        <f t="shared" si="6"/>
        <v>2.0850555708643345E-2</v>
      </c>
      <c r="BH24" s="17">
        <f t="shared" si="7"/>
        <v>2.046115496468634E-2</v>
      </c>
      <c r="BI24" s="17">
        <f t="shared" si="8"/>
        <v>2.181255277230509E-2</v>
      </c>
      <c r="BJ24" s="18">
        <f t="shared" si="9"/>
        <v>2.7438016528925635E-2</v>
      </c>
    </row>
    <row r="25" spans="2:62" ht="15" thickBot="1" x14ac:dyDescent="0.35">
      <c r="B25" s="3">
        <v>0.83333333333333337</v>
      </c>
      <c r="C25" s="6">
        <v>42</v>
      </c>
      <c r="D25" s="4">
        <v>38</v>
      </c>
      <c r="E25" s="4">
        <v>40</v>
      </c>
      <c r="F25" s="4">
        <v>39</v>
      </c>
      <c r="G25" s="4">
        <v>37</v>
      </c>
      <c r="H25" s="4">
        <v>30</v>
      </c>
      <c r="I25" s="5">
        <v>29</v>
      </c>
      <c r="J25" s="6">
        <v>43</v>
      </c>
      <c r="K25" s="4">
        <v>39</v>
      </c>
      <c r="L25" s="4">
        <v>41</v>
      </c>
      <c r="M25" s="4">
        <v>40</v>
      </c>
      <c r="N25" s="4">
        <v>38</v>
      </c>
      <c r="O25" s="4">
        <v>31</v>
      </c>
      <c r="P25" s="5">
        <v>30</v>
      </c>
      <c r="Q25" s="6">
        <v>44</v>
      </c>
      <c r="R25" s="4">
        <v>40</v>
      </c>
      <c r="S25" s="4">
        <v>42</v>
      </c>
      <c r="T25" s="4">
        <v>41</v>
      </c>
      <c r="U25" s="4">
        <v>39</v>
      </c>
      <c r="V25" s="4">
        <v>32</v>
      </c>
      <c r="W25" s="5">
        <v>30</v>
      </c>
      <c r="X25" s="6">
        <v>41</v>
      </c>
      <c r="Y25" s="4">
        <v>37</v>
      </c>
      <c r="Z25" s="4">
        <v>39</v>
      </c>
      <c r="AA25" s="4">
        <v>38</v>
      </c>
      <c r="AB25" s="4">
        <v>36</v>
      </c>
      <c r="AC25" s="4">
        <v>29</v>
      </c>
      <c r="AD25" s="5">
        <v>28</v>
      </c>
      <c r="AE25" s="6">
        <v>40</v>
      </c>
      <c r="AF25" s="4">
        <v>36</v>
      </c>
      <c r="AG25" s="4">
        <v>38</v>
      </c>
      <c r="AH25" s="4">
        <v>37</v>
      </c>
      <c r="AI25" s="4">
        <v>35</v>
      </c>
      <c r="AJ25" s="4">
        <v>28</v>
      </c>
      <c r="AK25" s="5">
        <v>27</v>
      </c>
      <c r="AL25" s="6">
        <v>41</v>
      </c>
      <c r="AM25" s="4">
        <v>37</v>
      </c>
      <c r="AN25" s="4">
        <v>39</v>
      </c>
      <c r="AO25" s="4">
        <v>38</v>
      </c>
      <c r="AP25" s="4">
        <v>36</v>
      </c>
      <c r="AQ25" s="4">
        <v>29</v>
      </c>
      <c r="AR25" s="5">
        <v>28</v>
      </c>
      <c r="AT25" s="3">
        <v>0.83333333333333337</v>
      </c>
      <c r="AU25" s="14">
        <f t="shared" si="10"/>
        <v>41.833333333333336</v>
      </c>
      <c r="AV25" s="14">
        <f t="shared" si="10"/>
        <v>37.833333333333336</v>
      </c>
      <c r="AW25" s="14">
        <f t="shared" si="10"/>
        <v>39.833333333333336</v>
      </c>
      <c r="AX25" s="14">
        <f t="shared" si="10"/>
        <v>38.833333333333336</v>
      </c>
      <c r="AY25" s="14">
        <f t="shared" si="10"/>
        <v>36.833333333333336</v>
      </c>
      <c r="AZ25" s="14">
        <f t="shared" si="10"/>
        <v>29.833333333333332</v>
      </c>
      <c r="BA25" s="15">
        <f t="shared" si="10"/>
        <v>28.666666666666668</v>
      </c>
      <c r="BC25" s="3">
        <v>0.83333333333333337</v>
      </c>
      <c r="BD25" s="17">
        <f t="shared" si="3"/>
        <v>2.0941097947605552E-2</v>
      </c>
      <c r="BE25" s="17">
        <f t="shared" si="4"/>
        <v>2.0772327964860917E-2</v>
      </c>
      <c r="BF25" s="17">
        <f t="shared" si="5"/>
        <v>2.2238764306318055E-2</v>
      </c>
      <c r="BG25" s="17">
        <f t="shared" si="6"/>
        <v>2.1401671718563435E-2</v>
      </c>
      <c r="BH25" s="17">
        <f t="shared" si="7"/>
        <v>2.2953884503531377E-2</v>
      </c>
      <c r="BI25" s="17">
        <f t="shared" si="8"/>
        <v>2.5189980298339427E-2</v>
      </c>
      <c r="BJ25" s="18">
        <f t="shared" si="9"/>
        <v>2.842975206611572E-2</v>
      </c>
    </row>
    <row r="26" spans="2:62" ht="15" thickBot="1" x14ac:dyDescent="0.35">
      <c r="B26" s="3">
        <v>0.85416666666666663</v>
      </c>
      <c r="C26" s="6">
        <v>39</v>
      </c>
      <c r="D26" s="4">
        <v>37</v>
      </c>
      <c r="E26" s="4">
        <v>41</v>
      </c>
      <c r="F26" s="4">
        <v>37</v>
      </c>
      <c r="G26" s="4">
        <v>34</v>
      </c>
      <c r="H26" s="4">
        <v>29</v>
      </c>
      <c r="I26" s="5">
        <v>22</v>
      </c>
      <c r="J26" s="6">
        <v>40</v>
      </c>
      <c r="K26" s="4">
        <v>38</v>
      </c>
      <c r="L26" s="4">
        <v>42</v>
      </c>
      <c r="M26" s="4">
        <v>38</v>
      </c>
      <c r="N26" s="4">
        <v>35</v>
      </c>
      <c r="O26" s="4">
        <v>30</v>
      </c>
      <c r="P26" s="5">
        <v>23</v>
      </c>
      <c r="Q26" s="6">
        <v>41</v>
      </c>
      <c r="R26" s="4">
        <v>39</v>
      </c>
      <c r="S26" s="4">
        <v>43</v>
      </c>
      <c r="T26" s="4">
        <v>39</v>
      </c>
      <c r="U26" s="4">
        <v>36</v>
      </c>
      <c r="V26" s="4">
        <v>31</v>
      </c>
      <c r="W26" s="5">
        <v>23</v>
      </c>
      <c r="X26" s="6">
        <v>38</v>
      </c>
      <c r="Y26" s="4">
        <v>36</v>
      </c>
      <c r="Z26" s="4">
        <v>40</v>
      </c>
      <c r="AA26" s="4">
        <v>36</v>
      </c>
      <c r="AB26" s="4">
        <v>33</v>
      </c>
      <c r="AC26" s="4">
        <v>28</v>
      </c>
      <c r="AD26" s="5">
        <v>21</v>
      </c>
      <c r="AE26" s="6">
        <v>37</v>
      </c>
      <c r="AF26" s="4">
        <v>35</v>
      </c>
      <c r="AG26" s="4">
        <v>39</v>
      </c>
      <c r="AH26" s="4">
        <v>35</v>
      </c>
      <c r="AI26" s="4">
        <v>32</v>
      </c>
      <c r="AJ26" s="4">
        <v>27</v>
      </c>
      <c r="AK26" s="5">
        <v>20</v>
      </c>
      <c r="AL26" s="6">
        <v>38</v>
      </c>
      <c r="AM26" s="4">
        <v>36</v>
      </c>
      <c r="AN26" s="4">
        <v>40</v>
      </c>
      <c r="AO26" s="4">
        <v>36</v>
      </c>
      <c r="AP26" s="4">
        <v>33</v>
      </c>
      <c r="AQ26" s="4">
        <v>28</v>
      </c>
      <c r="AR26" s="5">
        <v>21</v>
      </c>
      <c r="AT26" s="3">
        <v>0.85416666666666663</v>
      </c>
      <c r="AU26" s="14">
        <f t="shared" si="10"/>
        <v>38.833333333333336</v>
      </c>
      <c r="AV26" s="14">
        <f t="shared" si="10"/>
        <v>36.833333333333336</v>
      </c>
      <c r="AW26" s="14">
        <f t="shared" si="10"/>
        <v>40.833333333333336</v>
      </c>
      <c r="AX26" s="14">
        <f t="shared" si="10"/>
        <v>36.833333333333336</v>
      </c>
      <c r="AY26" s="14">
        <f t="shared" si="10"/>
        <v>33.833333333333336</v>
      </c>
      <c r="AZ26" s="14">
        <f t="shared" si="10"/>
        <v>28.833333333333332</v>
      </c>
      <c r="BA26" s="15">
        <f t="shared" si="10"/>
        <v>21.666666666666668</v>
      </c>
      <c r="BC26" s="3">
        <v>0.85416666666666663</v>
      </c>
      <c r="BD26" s="17">
        <f t="shared" si="3"/>
        <v>1.9439345903554159E-2</v>
      </c>
      <c r="BE26" s="17">
        <f t="shared" si="4"/>
        <v>2.0223279648609087E-2</v>
      </c>
      <c r="BF26" s="17">
        <f t="shared" si="5"/>
        <v>2.2797059644551979E-2</v>
      </c>
      <c r="BG26" s="17">
        <f t="shared" si="6"/>
        <v>2.0299439698723255E-2</v>
      </c>
      <c r="BH26" s="17">
        <f t="shared" si="7"/>
        <v>2.1084337349397599E-2</v>
      </c>
      <c r="BI26" s="17">
        <f t="shared" si="8"/>
        <v>2.4345623416830844E-2</v>
      </c>
      <c r="BJ26" s="18">
        <f t="shared" si="9"/>
        <v>2.1487603305785138E-2</v>
      </c>
    </row>
    <row r="27" spans="2:62" ht="15" thickBot="1" x14ac:dyDescent="0.35">
      <c r="B27" s="3">
        <v>0.875</v>
      </c>
      <c r="C27" s="6">
        <v>42</v>
      </c>
      <c r="D27" s="4">
        <v>34</v>
      </c>
      <c r="E27" s="4">
        <v>40</v>
      </c>
      <c r="F27" s="4">
        <v>36</v>
      </c>
      <c r="G27" s="4">
        <v>28</v>
      </c>
      <c r="H27" s="4">
        <v>25</v>
      </c>
      <c r="I27" s="5">
        <v>24</v>
      </c>
      <c r="J27" s="6">
        <v>43</v>
      </c>
      <c r="K27" s="4">
        <v>35</v>
      </c>
      <c r="L27" s="4">
        <v>41</v>
      </c>
      <c r="M27" s="4">
        <v>37</v>
      </c>
      <c r="N27" s="4">
        <v>29</v>
      </c>
      <c r="O27" s="4">
        <v>26</v>
      </c>
      <c r="P27" s="5">
        <v>25</v>
      </c>
      <c r="Q27" s="6">
        <v>44</v>
      </c>
      <c r="R27" s="4">
        <v>36</v>
      </c>
      <c r="S27" s="4">
        <v>42</v>
      </c>
      <c r="T27" s="4">
        <v>38</v>
      </c>
      <c r="U27" s="4">
        <v>30</v>
      </c>
      <c r="V27" s="4">
        <v>27</v>
      </c>
      <c r="W27" s="5">
        <v>25</v>
      </c>
      <c r="X27" s="6">
        <v>41</v>
      </c>
      <c r="Y27" s="4">
        <v>33</v>
      </c>
      <c r="Z27" s="4">
        <v>39</v>
      </c>
      <c r="AA27" s="4">
        <v>35</v>
      </c>
      <c r="AB27" s="4">
        <v>27</v>
      </c>
      <c r="AC27" s="4">
        <v>24</v>
      </c>
      <c r="AD27" s="5">
        <v>23</v>
      </c>
      <c r="AE27" s="6">
        <v>40</v>
      </c>
      <c r="AF27" s="4">
        <v>32</v>
      </c>
      <c r="AG27" s="4">
        <v>38</v>
      </c>
      <c r="AH27" s="4">
        <v>34</v>
      </c>
      <c r="AI27" s="4">
        <v>26</v>
      </c>
      <c r="AJ27" s="4">
        <v>23</v>
      </c>
      <c r="AK27" s="5">
        <v>22</v>
      </c>
      <c r="AL27" s="6">
        <v>41</v>
      </c>
      <c r="AM27" s="4">
        <v>33</v>
      </c>
      <c r="AN27" s="4">
        <v>39</v>
      </c>
      <c r="AO27" s="4">
        <v>35</v>
      </c>
      <c r="AP27" s="4">
        <v>27</v>
      </c>
      <c r="AQ27" s="4">
        <v>24</v>
      </c>
      <c r="AR27" s="5">
        <v>23</v>
      </c>
      <c r="AT27" s="3">
        <v>0.875</v>
      </c>
      <c r="AU27" s="14">
        <f t="shared" si="10"/>
        <v>41.833333333333336</v>
      </c>
      <c r="AV27" s="14">
        <f t="shared" si="10"/>
        <v>33.833333333333336</v>
      </c>
      <c r="AW27" s="14">
        <f t="shared" si="10"/>
        <v>39.833333333333336</v>
      </c>
      <c r="AX27" s="14">
        <f t="shared" si="10"/>
        <v>35.833333333333336</v>
      </c>
      <c r="AY27" s="14">
        <f t="shared" si="10"/>
        <v>27.833333333333332</v>
      </c>
      <c r="AZ27" s="14">
        <f t="shared" si="10"/>
        <v>24.833333333333332</v>
      </c>
      <c r="BA27" s="15">
        <f t="shared" si="10"/>
        <v>23.666666666666668</v>
      </c>
      <c r="BC27" s="3">
        <v>0.875</v>
      </c>
      <c r="BD27" s="17">
        <f t="shared" si="3"/>
        <v>2.0941097947605552E-2</v>
      </c>
      <c r="BE27" s="17">
        <f t="shared" si="4"/>
        <v>1.8576134699853596E-2</v>
      </c>
      <c r="BF27" s="17">
        <f t="shared" si="5"/>
        <v>2.2238764306318055E-2</v>
      </c>
      <c r="BG27" s="17">
        <f t="shared" si="6"/>
        <v>1.9748323688803169E-2</v>
      </c>
      <c r="BH27" s="17">
        <f t="shared" si="7"/>
        <v>1.7345243041130044E-2</v>
      </c>
      <c r="BI27" s="17">
        <f t="shared" si="8"/>
        <v>2.0968195890796508E-2</v>
      </c>
      <c r="BJ27" s="18">
        <f t="shared" si="9"/>
        <v>2.3471074380165304E-2</v>
      </c>
    </row>
    <row r="28" spans="2:62" ht="15" thickBot="1" x14ac:dyDescent="0.35">
      <c r="B28" s="3">
        <v>0.89583333333333337</v>
      </c>
      <c r="C28" s="6">
        <v>36</v>
      </c>
      <c r="D28" s="4">
        <v>35</v>
      </c>
      <c r="E28" s="4">
        <v>38</v>
      </c>
      <c r="F28" s="4">
        <v>35</v>
      </c>
      <c r="G28" s="4">
        <v>27</v>
      </c>
      <c r="H28" s="4">
        <v>21</v>
      </c>
      <c r="I28" s="5">
        <v>26</v>
      </c>
      <c r="J28" s="6">
        <v>37</v>
      </c>
      <c r="K28" s="4">
        <v>36</v>
      </c>
      <c r="L28" s="4">
        <v>39</v>
      </c>
      <c r="M28" s="4">
        <v>36</v>
      </c>
      <c r="N28" s="4">
        <v>28</v>
      </c>
      <c r="O28" s="4">
        <v>22</v>
      </c>
      <c r="P28" s="5">
        <v>27</v>
      </c>
      <c r="Q28" s="6">
        <v>38</v>
      </c>
      <c r="R28" s="4">
        <v>37</v>
      </c>
      <c r="S28" s="4">
        <v>40</v>
      </c>
      <c r="T28" s="4">
        <v>37</v>
      </c>
      <c r="U28" s="4">
        <v>29</v>
      </c>
      <c r="V28" s="4">
        <v>23</v>
      </c>
      <c r="W28" s="5">
        <v>27</v>
      </c>
      <c r="X28" s="6">
        <v>35</v>
      </c>
      <c r="Y28" s="4">
        <v>34</v>
      </c>
      <c r="Z28" s="4">
        <v>37</v>
      </c>
      <c r="AA28" s="4">
        <v>34</v>
      </c>
      <c r="AB28" s="4">
        <v>26</v>
      </c>
      <c r="AC28" s="4">
        <v>20</v>
      </c>
      <c r="AD28" s="5">
        <v>25</v>
      </c>
      <c r="AE28" s="6">
        <v>34</v>
      </c>
      <c r="AF28" s="4">
        <v>33</v>
      </c>
      <c r="AG28" s="4">
        <v>36</v>
      </c>
      <c r="AH28" s="4">
        <v>33</v>
      </c>
      <c r="AI28" s="4">
        <v>25</v>
      </c>
      <c r="AJ28" s="4">
        <v>19</v>
      </c>
      <c r="AK28" s="5">
        <v>24</v>
      </c>
      <c r="AL28" s="6">
        <v>35</v>
      </c>
      <c r="AM28" s="4">
        <v>34</v>
      </c>
      <c r="AN28" s="4">
        <v>37</v>
      </c>
      <c r="AO28" s="4">
        <v>34</v>
      </c>
      <c r="AP28" s="4">
        <v>26</v>
      </c>
      <c r="AQ28" s="4">
        <v>20</v>
      </c>
      <c r="AR28" s="5">
        <v>25</v>
      </c>
      <c r="AT28" s="3">
        <v>0.89583333333333337</v>
      </c>
      <c r="AU28" s="14">
        <f t="shared" si="10"/>
        <v>35.833333333333336</v>
      </c>
      <c r="AV28" s="14">
        <f t="shared" si="10"/>
        <v>34.833333333333336</v>
      </c>
      <c r="AW28" s="14">
        <f t="shared" si="10"/>
        <v>37.833333333333336</v>
      </c>
      <c r="AX28" s="14">
        <f t="shared" si="10"/>
        <v>34.833333333333336</v>
      </c>
      <c r="AY28" s="14">
        <f t="shared" si="10"/>
        <v>26.833333333333332</v>
      </c>
      <c r="AZ28" s="14">
        <f t="shared" si="10"/>
        <v>20.833333333333332</v>
      </c>
      <c r="BA28" s="15">
        <f t="shared" si="10"/>
        <v>25.666666666666668</v>
      </c>
      <c r="BC28" s="3">
        <v>0.89583333333333337</v>
      </c>
      <c r="BD28" s="17">
        <f t="shared" si="3"/>
        <v>1.7937593859502762E-2</v>
      </c>
      <c r="BE28" s="17">
        <f t="shared" si="4"/>
        <v>1.9125183016105426E-2</v>
      </c>
      <c r="BF28" s="17">
        <f t="shared" si="5"/>
        <v>2.1122173629850201E-2</v>
      </c>
      <c r="BG28" s="17">
        <f t="shared" si="6"/>
        <v>1.9197207678883079E-2</v>
      </c>
      <c r="BH28" s="17">
        <f t="shared" si="7"/>
        <v>1.6722060656418784E-2</v>
      </c>
      <c r="BI28" s="17">
        <f t="shared" si="8"/>
        <v>1.7590768364762168E-2</v>
      </c>
      <c r="BJ28" s="18">
        <f t="shared" si="9"/>
        <v>2.5454545454545469E-2</v>
      </c>
    </row>
    <row r="29" spans="2:62" ht="15" thickBot="1" x14ac:dyDescent="0.35">
      <c r="B29" s="3">
        <v>0.91666666666666663</v>
      </c>
      <c r="C29" s="6">
        <v>30</v>
      </c>
      <c r="D29" s="4">
        <v>29</v>
      </c>
      <c r="E29" s="4">
        <v>35</v>
      </c>
      <c r="F29" s="4">
        <v>29</v>
      </c>
      <c r="G29" s="4">
        <v>25</v>
      </c>
      <c r="H29" s="4">
        <v>24</v>
      </c>
      <c r="I29" s="5">
        <v>27</v>
      </c>
      <c r="J29" s="6">
        <v>31</v>
      </c>
      <c r="K29" s="4">
        <v>30</v>
      </c>
      <c r="L29" s="4">
        <v>36</v>
      </c>
      <c r="M29" s="4">
        <v>30</v>
      </c>
      <c r="N29" s="4">
        <v>26</v>
      </c>
      <c r="O29" s="4">
        <v>25</v>
      </c>
      <c r="P29" s="5">
        <v>28</v>
      </c>
      <c r="Q29" s="6">
        <v>32</v>
      </c>
      <c r="R29" s="4">
        <v>31</v>
      </c>
      <c r="S29" s="4">
        <v>37</v>
      </c>
      <c r="T29" s="4">
        <v>31</v>
      </c>
      <c r="U29" s="4">
        <v>27</v>
      </c>
      <c r="V29" s="4">
        <v>26</v>
      </c>
      <c r="W29" s="5">
        <v>28</v>
      </c>
      <c r="X29" s="6">
        <v>29</v>
      </c>
      <c r="Y29" s="4">
        <v>28</v>
      </c>
      <c r="Z29" s="4">
        <v>34</v>
      </c>
      <c r="AA29" s="4">
        <v>28</v>
      </c>
      <c r="AB29" s="4">
        <v>24</v>
      </c>
      <c r="AC29" s="4">
        <v>23</v>
      </c>
      <c r="AD29" s="5">
        <v>26</v>
      </c>
      <c r="AE29" s="6">
        <v>28</v>
      </c>
      <c r="AF29" s="4">
        <v>27</v>
      </c>
      <c r="AG29" s="4">
        <v>33</v>
      </c>
      <c r="AH29" s="4">
        <v>27</v>
      </c>
      <c r="AI29" s="4">
        <v>23</v>
      </c>
      <c r="AJ29" s="4">
        <v>22</v>
      </c>
      <c r="AK29" s="5">
        <v>25</v>
      </c>
      <c r="AL29" s="6">
        <v>29</v>
      </c>
      <c r="AM29" s="4">
        <v>28</v>
      </c>
      <c r="AN29" s="4">
        <v>34</v>
      </c>
      <c r="AO29" s="4">
        <v>28</v>
      </c>
      <c r="AP29" s="4">
        <v>24</v>
      </c>
      <c r="AQ29" s="4">
        <v>23</v>
      </c>
      <c r="AR29" s="5">
        <v>26</v>
      </c>
      <c r="AT29" s="3">
        <v>0.91666666666666663</v>
      </c>
      <c r="AU29" s="14">
        <f t="shared" si="10"/>
        <v>29.833333333333332</v>
      </c>
      <c r="AV29" s="14">
        <f t="shared" si="10"/>
        <v>28.833333333333332</v>
      </c>
      <c r="AW29" s="14">
        <f t="shared" si="10"/>
        <v>34.833333333333336</v>
      </c>
      <c r="AX29" s="14">
        <f t="shared" si="10"/>
        <v>28.833333333333332</v>
      </c>
      <c r="AY29" s="14">
        <f t="shared" si="10"/>
        <v>24.833333333333332</v>
      </c>
      <c r="AZ29" s="14">
        <f t="shared" si="10"/>
        <v>23.833333333333332</v>
      </c>
      <c r="BA29" s="15">
        <f t="shared" si="10"/>
        <v>26.666666666666668</v>
      </c>
      <c r="BC29" s="3">
        <v>0.91666666666666663</v>
      </c>
      <c r="BD29" s="17">
        <f t="shared" si="3"/>
        <v>1.4934089771399974E-2</v>
      </c>
      <c r="BE29" s="17">
        <f t="shared" si="4"/>
        <v>1.5830893118594442E-2</v>
      </c>
      <c r="BF29" s="17">
        <f t="shared" si="5"/>
        <v>1.9447287615148422E-2</v>
      </c>
      <c r="BG29" s="17">
        <f t="shared" si="6"/>
        <v>1.5890511619362547E-2</v>
      </c>
      <c r="BH29" s="17">
        <f t="shared" si="7"/>
        <v>1.5475695886996266E-2</v>
      </c>
      <c r="BI29" s="17">
        <f t="shared" si="8"/>
        <v>2.0123839009287922E-2</v>
      </c>
      <c r="BJ29" s="18">
        <f t="shared" si="9"/>
        <v>2.6446280991735554E-2</v>
      </c>
    </row>
    <row r="30" spans="2:62" ht="15" thickBot="1" x14ac:dyDescent="0.35">
      <c r="B30" s="3">
        <v>0.9375</v>
      </c>
      <c r="C30" s="6">
        <v>31</v>
      </c>
      <c r="D30" s="4">
        <v>28</v>
      </c>
      <c r="E30" s="4">
        <v>28</v>
      </c>
      <c r="F30" s="4">
        <v>29</v>
      </c>
      <c r="G30" s="4">
        <v>22</v>
      </c>
      <c r="H30" s="4">
        <v>19</v>
      </c>
      <c r="I30" s="5">
        <v>23</v>
      </c>
      <c r="J30" s="6">
        <v>32</v>
      </c>
      <c r="K30" s="4">
        <v>29</v>
      </c>
      <c r="L30" s="4">
        <v>29</v>
      </c>
      <c r="M30" s="4">
        <v>30</v>
      </c>
      <c r="N30" s="4">
        <v>23</v>
      </c>
      <c r="O30" s="4">
        <v>20</v>
      </c>
      <c r="P30" s="5">
        <v>24</v>
      </c>
      <c r="Q30" s="6">
        <v>33</v>
      </c>
      <c r="R30" s="4">
        <v>30</v>
      </c>
      <c r="S30" s="4">
        <v>30</v>
      </c>
      <c r="T30" s="4">
        <v>31</v>
      </c>
      <c r="U30" s="4">
        <v>24</v>
      </c>
      <c r="V30" s="4">
        <v>21</v>
      </c>
      <c r="W30" s="5">
        <v>24</v>
      </c>
      <c r="X30" s="6">
        <v>30</v>
      </c>
      <c r="Y30" s="4">
        <v>27</v>
      </c>
      <c r="Z30" s="4">
        <v>27</v>
      </c>
      <c r="AA30" s="4">
        <v>28</v>
      </c>
      <c r="AB30" s="4">
        <v>21</v>
      </c>
      <c r="AC30" s="4">
        <v>18</v>
      </c>
      <c r="AD30" s="5">
        <v>22</v>
      </c>
      <c r="AE30" s="6">
        <v>29</v>
      </c>
      <c r="AF30" s="4">
        <v>26</v>
      </c>
      <c r="AG30" s="4">
        <v>26</v>
      </c>
      <c r="AH30" s="4">
        <v>27</v>
      </c>
      <c r="AI30" s="4">
        <v>20</v>
      </c>
      <c r="AJ30" s="4">
        <v>17</v>
      </c>
      <c r="AK30" s="5">
        <v>21</v>
      </c>
      <c r="AL30" s="6">
        <v>30</v>
      </c>
      <c r="AM30" s="4">
        <v>27</v>
      </c>
      <c r="AN30" s="4">
        <v>27</v>
      </c>
      <c r="AO30" s="4">
        <v>28</v>
      </c>
      <c r="AP30" s="4">
        <v>21</v>
      </c>
      <c r="AQ30" s="4">
        <v>18</v>
      </c>
      <c r="AR30" s="5">
        <v>22</v>
      </c>
      <c r="AT30" s="3">
        <v>0.9375</v>
      </c>
      <c r="AU30" s="14">
        <f t="shared" si="10"/>
        <v>30.833333333333332</v>
      </c>
      <c r="AV30" s="14">
        <f t="shared" si="10"/>
        <v>27.833333333333332</v>
      </c>
      <c r="AW30" s="14">
        <f t="shared" si="10"/>
        <v>27.833333333333332</v>
      </c>
      <c r="AX30" s="14">
        <f t="shared" si="10"/>
        <v>28.833333333333332</v>
      </c>
      <c r="AY30" s="14">
        <f t="shared" si="10"/>
        <v>21.833333333333332</v>
      </c>
      <c r="AZ30" s="14">
        <f t="shared" si="10"/>
        <v>18.833333333333332</v>
      </c>
      <c r="BA30" s="15">
        <f t="shared" si="10"/>
        <v>22.666666666666668</v>
      </c>
      <c r="BC30" s="3">
        <v>0.9375</v>
      </c>
      <c r="BD30" s="17">
        <f t="shared" si="3"/>
        <v>1.5434673786083772E-2</v>
      </c>
      <c r="BE30" s="17">
        <f t="shared" si="4"/>
        <v>1.5281844802342612E-2</v>
      </c>
      <c r="BF30" s="17">
        <f t="shared" si="5"/>
        <v>1.553922024751094E-2</v>
      </c>
      <c r="BG30" s="17">
        <f t="shared" si="6"/>
        <v>1.5890511619362547E-2</v>
      </c>
      <c r="BH30" s="17">
        <f t="shared" si="7"/>
        <v>1.360614873286249E-2</v>
      </c>
      <c r="BI30" s="17">
        <f t="shared" si="8"/>
        <v>1.5902054601745E-2</v>
      </c>
      <c r="BJ30" s="18">
        <f t="shared" si="9"/>
        <v>2.2479338842975219E-2</v>
      </c>
    </row>
    <row r="31" spans="2:62" ht="15" thickBot="1" x14ac:dyDescent="0.35">
      <c r="B31" s="3">
        <v>0.95833333333333337</v>
      </c>
      <c r="C31" s="6">
        <v>23</v>
      </c>
      <c r="D31" s="4">
        <v>30</v>
      </c>
      <c r="E31" s="4">
        <v>28</v>
      </c>
      <c r="F31" s="4">
        <v>28</v>
      </c>
      <c r="G31" s="4">
        <v>24</v>
      </c>
      <c r="H31" s="4">
        <v>19</v>
      </c>
      <c r="I31" s="5">
        <v>18</v>
      </c>
      <c r="J31" s="6">
        <v>24</v>
      </c>
      <c r="K31" s="4">
        <v>31</v>
      </c>
      <c r="L31" s="4">
        <v>29</v>
      </c>
      <c r="M31" s="4">
        <v>29</v>
      </c>
      <c r="N31" s="4">
        <v>25</v>
      </c>
      <c r="O31" s="4">
        <v>20</v>
      </c>
      <c r="P31" s="5">
        <v>19</v>
      </c>
      <c r="Q31" s="6">
        <v>24</v>
      </c>
      <c r="R31" s="4">
        <v>31</v>
      </c>
      <c r="S31" s="4">
        <v>29</v>
      </c>
      <c r="T31" s="4">
        <v>29</v>
      </c>
      <c r="U31" s="4">
        <v>25</v>
      </c>
      <c r="V31" s="4">
        <v>20</v>
      </c>
      <c r="W31" s="5">
        <v>19</v>
      </c>
      <c r="X31" s="6">
        <v>22</v>
      </c>
      <c r="Y31" s="4">
        <v>29</v>
      </c>
      <c r="Z31" s="4">
        <v>27</v>
      </c>
      <c r="AA31" s="4">
        <v>27</v>
      </c>
      <c r="AB31" s="4">
        <v>23</v>
      </c>
      <c r="AC31" s="4">
        <v>18</v>
      </c>
      <c r="AD31" s="5">
        <v>17</v>
      </c>
      <c r="AE31" s="6">
        <v>21</v>
      </c>
      <c r="AF31" s="4">
        <v>28</v>
      </c>
      <c r="AG31" s="4">
        <v>26</v>
      </c>
      <c r="AH31" s="4">
        <v>26</v>
      </c>
      <c r="AI31" s="4">
        <v>22</v>
      </c>
      <c r="AJ31" s="4">
        <v>17</v>
      </c>
      <c r="AK31" s="5">
        <v>16</v>
      </c>
      <c r="AL31" s="6">
        <v>22</v>
      </c>
      <c r="AM31" s="4">
        <v>29</v>
      </c>
      <c r="AN31" s="4">
        <v>27</v>
      </c>
      <c r="AO31" s="4">
        <v>27</v>
      </c>
      <c r="AP31" s="4">
        <v>23</v>
      </c>
      <c r="AQ31" s="4">
        <v>18</v>
      </c>
      <c r="AR31" s="5">
        <v>17</v>
      </c>
      <c r="AT31" s="3">
        <v>0.95833333333333337</v>
      </c>
      <c r="AU31" s="14">
        <f t="shared" si="10"/>
        <v>22.666666666666668</v>
      </c>
      <c r="AV31" s="14">
        <f t="shared" si="10"/>
        <v>29.666666666666668</v>
      </c>
      <c r="AW31" s="14">
        <f t="shared" si="10"/>
        <v>27.666666666666668</v>
      </c>
      <c r="AX31" s="14">
        <f t="shared" si="10"/>
        <v>27.666666666666668</v>
      </c>
      <c r="AY31" s="14">
        <f t="shared" si="10"/>
        <v>23.666666666666668</v>
      </c>
      <c r="AZ31" s="14">
        <f t="shared" si="10"/>
        <v>18.666666666666668</v>
      </c>
      <c r="BA31" s="15">
        <f t="shared" si="10"/>
        <v>17.666666666666668</v>
      </c>
      <c r="BC31" s="3">
        <v>0.95833333333333337</v>
      </c>
      <c r="BD31" s="17">
        <f t="shared" si="3"/>
        <v>1.1346570999499423E-2</v>
      </c>
      <c r="BE31" s="17">
        <f t="shared" si="4"/>
        <v>1.6288433382137636E-2</v>
      </c>
      <c r="BF31" s="17">
        <f t="shared" si="5"/>
        <v>1.5446171024471954E-2</v>
      </c>
      <c r="BG31" s="17">
        <f t="shared" si="6"/>
        <v>1.5247542941122447E-2</v>
      </c>
      <c r="BH31" s="17">
        <f t="shared" si="7"/>
        <v>1.4748649771499799E-2</v>
      </c>
      <c r="BI31" s="17">
        <f t="shared" si="8"/>
        <v>1.5761328454826907E-2</v>
      </c>
      <c r="BJ31" s="18">
        <f t="shared" si="9"/>
        <v>1.7520661157024803E-2</v>
      </c>
    </row>
    <row r="32" spans="2:62" ht="15" thickBot="1" x14ac:dyDescent="0.35">
      <c r="B32" s="3">
        <v>0.97916666666666663</v>
      </c>
      <c r="C32" s="6">
        <v>18</v>
      </c>
      <c r="D32" s="4">
        <v>20</v>
      </c>
      <c r="E32" s="4">
        <v>17</v>
      </c>
      <c r="F32" s="4">
        <v>24</v>
      </c>
      <c r="G32" s="4">
        <v>24</v>
      </c>
      <c r="H32" s="4">
        <v>20</v>
      </c>
      <c r="I32" s="5">
        <v>12</v>
      </c>
      <c r="J32" s="6">
        <v>19</v>
      </c>
      <c r="K32" s="4">
        <v>21</v>
      </c>
      <c r="L32" s="4">
        <v>18</v>
      </c>
      <c r="M32" s="4">
        <v>25</v>
      </c>
      <c r="N32" s="4">
        <v>25</v>
      </c>
      <c r="O32" s="4">
        <v>21</v>
      </c>
      <c r="P32" s="5">
        <v>13</v>
      </c>
      <c r="Q32" s="6">
        <v>19</v>
      </c>
      <c r="R32" s="4">
        <v>21</v>
      </c>
      <c r="S32" s="4">
        <v>18</v>
      </c>
      <c r="T32" s="4">
        <v>25</v>
      </c>
      <c r="U32" s="4">
        <v>25</v>
      </c>
      <c r="V32" s="4">
        <v>21</v>
      </c>
      <c r="W32" s="5">
        <v>13</v>
      </c>
      <c r="X32" s="6">
        <v>17</v>
      </c>
      <c r="Y32" s="4">
        <v>19</v>
      </c>
      <c r="Z32" s="4">
        <v>16</v>
      </c>
      <c r="AA32" s="4">
        <v>23</v>
      </c>
      <c r="AB32" s="4">
        <v>23</v>
      </c>
      <c r="AC32" s="4">
        <v>19</v>
      </c>
      <c r="AD32" s="5">
        <v>11</v>
      </c>
      <c r="AE32" s="6">
        <v>16</v>
      </c>
      <c r="AF32" s="4">
        <v>18</v>
      </c>
      <c r="AG32" s="4">
        <v>15</v>
      </c>
      <c r="AH32" s="4">
        <v>22</v>
      </c>
      <c r="AI32" s="4">
        <v>22</v>
      </c>
      <c r="AJ32" s="4">
        <v>18</v>
      </c>
      <c r="AK32" s="5">
        <v>10</v>
      </c>
      <c r="AL32" s="6">
        <v>17</v>
      </c>
      <c r="AM32" s="4">
        <v>19</v>
      </c>
      <c r="AN32" s="4">
        <v>16</v>
      </c>
      <c r="AO32" s="4">
        <v>23</v>
      </c>
      <c r="AP32" s="4">
        <v>23</v>
      </c>
      <c r="AQ32" s="4">
        <v>19</v>
      </c>
      <c r="AR32" s="5">
        <v>11</v>
      </c>
      <c r="AT32" s="3">
        <v>0.97916666666666663</v>
      </c>
      <c r="AU32" s="14">
        <f t="shared" si="10"/>
        <v>17.666666666666668</v>
      </c>
      <c r="AV32" s="14">
        <f t="shared" si="10"/>
        <v>19.666666666666668</v>
      </c>
      <c r="AW32" s="14">
        <f t="shared" si="10"/>
        <v>16.666666666666668</v>
      </c>
      <c r="AX32" s="14">
        <f t="shared" si="10"/>
        <v>23.666666666666668</v>
      </c>
      <c r="AY32" s="14">
        <f t="shared" si="10"/>
        <v>23.666666666666668</v>
      </c>
      <c r="AZ32" s="14">
        <f t="shared" si="10"/>
        <v>19.666666666666668</v>
      </c>
      <c r="BA32" s="15">
        <f t="shared" si="10"/>
        <v>11.666666666666666</v>
      </c>
      <c r="BC32" s="3">
        <v>0.97916666666666663</v>
      </c>
      <c r="BD32" s="17">
        <f t="shared" si="3"/>
        <v>8.8436509260804326E-3</v>
      </c>
      <c r="BE32" s="17">
        <f t="shared" si="4"/>
        <v>1.0797950219619332E-2</v>
      </c>
      <c r="BF32" s="17">
        <f t="shared" si="5"/>
        <v>9.3049223038987675E-3</v>
      </c>
      <c r="BG32" s="17">
        <f t="shared" si="6"/>
        <v>1.3043078901442092E-2</v>
      </c>
      <c r="BH32" s="17">
        <f t="shared" si="7"/>
        <v>1.4748649771499799E-2</v>
      </c>
      <c r="BI32" s="17">
        <f t="shared" si="8"/>
        <v>1.6605685336335489E-2</v>
      </c>
      <c r="BJ32" s="18">
        <f t="shared" si="9"/>
        <v>1.1570247933884304E-2</v>
      </c>
    </row>
    <row r="33" spans="2:62" ht="15" thickBot="1" x14ac:dyDescent="0.35">
      <c r="B33" s="8" t="s">
        <v>8</v>
      </c>
      <c r="C33" s="9">
        <v>2004</v>
      </c>
      <c r="D33" s="10">
        <v>1825</v>
      </c>
      <c r="E33" s="10">
        <v>1797</v>
      </c>
      <c r="F33" s="10">
        <v>1811</v>
      </c>
      <c r="G33" s="10">
        <v>1612</v>
      </c>
      <c r="H33" s="10">
        <v>1190</v>
      </c>
      <c r="I33" s="11">
        <v>1014</v>
      </c>
      <c r="J33" s="9">
        <v>2034</v>
      </c>
      <c r="K33" s="10">
        <v>1846</v>
      </c>
      <c r="L33" s="10">
        <v>1819</v>
      </c>
      <c r="M33" s="10">
        <v>1839</v>
      </c>
      <c r="N33" s="10">
        <v>1636</v>
      </c>
      <c r="O33" s="10">
        <v>1207</v>
      </c>
      <c r="P33" s="11">
        <v>1029</v>
      </c>
      <c r="Q33" s="9">
        <v>2058</v>
      </c>
      <c r="R33" s="10">
        <v>1872</v>
      </c>
      <c r="S33" s="10">
        <v>1846</v>
      </c>
      <c r="T33" s="10">
        <v>1866</v>
      </c>
      <c r="U33" s="10">
        <v>1663</v>
      </c>
      <c r="V33" s="10">
        <v>1229</v>
      </c>
      <c r="W33" s="11">
        <v>1042</v>
      </c>
      <c r="X33" s="9">
        <v>1984</v>
      </c>
      <c r="Y33" s="10">
        <v>1807</v>
      </c>
      <c r="Z33" s="10">
        <v>1779</v>
      </c>
      <c r="AA33" s="10">
        <v>1793</v>
      </c>
      <c r="AB33" s="10">
        <v>1596</v>
      </c>
      <c r="AC33" s="10">
        <v>1178</v>
      </c>
      <c r="AD33" s="11">
        <v>1004</v>
      </c>
      <c r="AE33" s="9">
        <v>1968</v>
      </c>
      <c r="AF33" s="10">
        <v>1790</v>
      </c>
      <c r="AG33" s="10">
        <v>1762</v>
      </c>
      <c r="AH33" s="10">
        <v>1777</v>
      </c>
      <c r="AI33" s="10">
        <v>1580</v>
      </c>
      <c r="AJ33" s="10">
        <v>1167</v>
      </c>
      <c r="AK33" s="11">
        <v>995</v>
      </c>
      <c r="AL33" s="9">
        <v>1994</v>
      </c>
      <c r="AM33" s="10">
        <v>1816</v>
      </c>
      <c r="AN33" s="10">
        <v>1788</v>
      </c>
      <c r="AO33" s="10">
        <v>1802</v>
      </c>
      <c r="AP33" s="10">
        <v>1603</v>
      </c>
      <c r="AQ33" s="10">
        <v>1184</v>
      </c>
      <c r="AR33" s="11">
        <v>1009</v>
      </c>
      <c r="AT33" s="8" t="s">
        <v>8</v>
      </c>
      <c r="AU33" s="13">
        <f>SUM(AU$3:AU$32)</f>
        <v>1997.6666666666656</v>
      </c>
      <c r="AV33" s="13">
        <f t="shared" ref="AV33:BA33" si="11">SUM(AV$3:AV$32)</f>
        <v>1821.3333333333326</v>
      </c>
      <c r="AW33" s="13">
        <f t="shared" si="11"/>
        <v>1791.1666666666658</v>
      </c>
      <c r="AX33" s="13">
        <f t="shared" si="11"/>
        <v>1814.4999999999993</v>
      </c>
      <c r="AY33" s="13">
        <f t="shared" si="11"/>
        <v>1604.6666666666661</v>
      </c>
      <c r="AZ33" s="13">
        <f t="shared" si="11"/>
        <v>1184.3333333333335</v>
      </c>
      <c r="BA33" s="13">
        <f t="shared" si="11"/>
        <v>1008.3333333333328</v>
      </c>
      <c r="BC33" s="8" t="s">
        <v>8</v>
      </c>
      <c r="BD33" s="16">
        <f>SUM(BD3:BD32)</f>
        <v>1.0000000000000007</v>
      </c>
      <c r="BE33" s="16">
        <f t="shared" ref="BE33:BJ33" si="12">SUM(BE3:BE32)</f>
        <v>1.0000000000000002</v>
      </c>
      <c r="BF33" s="16">
        <f t="shared" si="12"/>
        <v>1.0000000000000007</v>
      </c>
      <c r="BG33" s="16">
        <f t="shared" si="12"/>
        <v>1.0000000000000002</v>
      </c>
      <c r="BH33" s="16">
        <f t="shared" si="12"/>
        <v>1.0000000000000004</v>
      </c>
      <c r="BI33" s="16">
        <f t="shared" si="12"/>
        <v>0.99999999999999978</v>
      </c>
      <c r="BJ33" s="16">
        <f t="shared" si="12"/>
        <v>1.0000000000000004</v>
      </c>
    </row>
    <row r="34" spans="2:62" ht="29.4" thickBot="1" x14ac:dyDescent="0.35">
      <c r="AT34" s="8" t="s">
        <v>9</v>
      </c>
      <c r="AU34" s="16">
        <f>AU$33/SUM($AU$33:$BA$33)</f>
        <v>0.17801342600843581</v>
      </c>
      <c r="AV34" s="16">
        <f t="shared" ref="AV34:BA34" si="13">AV$33/SUM($AU$33:$BA$33)</f>
        <v>0.1623002435691796</v>
      </c>
      <c r="AW34" s="16">
        <f t="shared" si="13"/>
        <v>0.15961207152616882</v>
      </c>
      <c r="AX34" s="16">
        <f t="shared" si="13"/>
        <v>0.16169132062021033</v>
      </c>
      <c r="AY34" s="16">
        <f t="shared" si="13"/>
        <v>0.14299293055308027</v>
      </c>
      <c r="AZ34" s="16">
        <f t="shared" si="13"/>
        <v>0.10553674330184763</v>
      </c>
      <c r="BA34" s="16">
        <f t="shared" si="13"/>
        <v>8.9853264421077647E-2</v>
      </c>
    </row>
  </sheetData>
  <mergeCells count="3">
    <mergeCell ref="B1:AR1"/>
    <mergeCell ref="AT1:BA1"/>
    <mergeCell ref="BC1:B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D89B-B2E1-481B-A290-B04F31772355}">
  <dimension ref="B1:CC38"/>
  <sheetViews>
    <sheetView showGridLines="0" topLeftCell="A3" workbookViewId="0">
      <selection activeCell="BP18" sqref="BP18"/>
    </sheetView>
  </sheetViews>
  <sheetFormatPr defaultRowHeight="14.4" x14ac:dyDescent="0.3"/>
  <cols>
    <col min="2" max="2" width="18.6640625" bestFit="1" customWidth="1"/>
    <col min="3" max="5" width="9.44140625" bestFit="1" customWidth="1"/>
    <col min="6" max="9" width="8.33203125" bestFit="1" customWidth="1"/>
    <col min="11" max="11" width="11.33203125" bestFit="1" customWidth="1"/>
    <col min="12" max="14" width="9.44140625" bestFit="1" customWidth="1"/>
    <col min="15" max="18" width="8.33203125" bestFit="1" customWidth="1"/>
    <col min="20" max="20" width="8.44140625" bestFit="1" customWidth="1"/>
    <col min="21" max="23" width="9.44140625" bestFit="1" customWidth="1"/>
    <col min="24" max="27" width="8.33203125" bestFit="1" customWidth="1"/>
    <col min="29" max="29" width="11.33203125" bestFit="1" customWidth="1"/>
    <col min="30" max="32" width="9.44140625" bestFit="1" customWidth="1"/>
    <col min="33" max="36" width="8.33203125" bestFit="1" customWidth="1"/>
    <col min="38" max="38" width="8.88671875" bestFit="1" customWidth="1"/>
    <col min="39" max="41" width="9.44140625" bestFit="1" customWidth="1"/>
    <col min="42" max="45" width="8.33203125" bestFit="1" customWidth="1"/>
    <col min="47" max="47" width="22.33203125" bestFit="1" customWidth="1"/>
    <col min="48" max="50" width="9.44140625" bestFit="1" customWidth="1"/>
    <col min="51" max="54" width="8.33203125" bestFit="1" customWidth="1"/>
    <col min="56" max="56" width="11.6640625" bestFit="1" customWidth="1"/>
    <col min="57" max="59" width="9.44140625" bestFit="1" customWidth="1"/>
    <col min="60" max="63" width="8.33203125" bestFit="1" customWidth="1"/>
    <col min="65" max="65" width="18.6640625" bestFit="1" customWidth="1"/>
    <col min="66" max="68" width="9.44140625" bestFit="1" customWidth="1"/>
    <col min="69" max="72" width="8.33203125" bestFit="1" customWidth="1"/>
    <col min="74" max="74" width="19.33203125" bestFit="1" customWidth="1"/>
    <col min="75" max="77" width="9.44140625" bestFit="1" customWidth="1"/>
    <col min="78" max="81" width="8.33203125" bestFit="1" customWidth="1"/>
  </cols>
  <sheetData>
    <row r="1" spans="2:81" ht="15" thickBot="1" x14ac:dyDescent="0.35"/>
    <row r="2" spans="2:81" ht="15.6" thickTop="1" thickBot="1" x14ac:dyDescent="0.35">
      <c r="T2" s="22"/>
      <c r="U2" s="23" t="s">
        <v>16</v>
      </c>
      <c r="V2" s="23" t="s">
        <v>17</v>
      </c>
      <c r="W2" s="23" t="s">
        <v>18</v>
      </c>
      <c r="X2" s="22"/>
      <c r="Y2" s="22"/>
      <c r="Z2" s="22"/>
      <c r="AA2" s="22"/>
    </row>
    <row r="3" spans="2:81" ht="15.6" thickTop="1" thickBot="1" x14ac:dyDescent="0.35">
      <c r="B3" s="21" t="s">
        <v>13</v>
      </c>
      <c r="K3" s="21" t="s">
        <v>14</v>
      </c>
      <c r="T3" s="26" t="s">
        <v>15</v>
      </c>
      <c r="U3" s="27">
        <v>6000</v>
      </c>
      <c r="V3" s="28">
        <v>300</v>
      </c>
      <c r="W3" s="29">
        <v>0.8</v>
      </c>
      <c r="X3" s="22"/>
      <c r="Y3" s="22"/>
      <c r="Z3" s="22"/>
      <c r="AA3" s="22"/>
      <c r="AC3" s="21" t="s">
        <v>19</v>
      </c>
      <c r="AL3" s="47" t="s">
        <v>25</v>
      </c>
      <c r="AM3" s="22"/>
      <c r="AN3" s="22"/>
      <c r="AO3" s="22"/>
      <c r="AP3" s="22"/>
      <c r="AQ3" s="22"/>
      <c r="AR3" s="22"/>
      <c r="AS3" s="22"/>
      <c r="AU3" s="47" t="s">
        <v>31</v>
      </c>
      <c r="AV3" s="22"/>
      <c r="AW3" s="22"/>
      <c r="AX3" s="22"/>
      <c r="AY3" s="22"/>
      <c r="AZ3" s="22"/>
      <c r="BA3" s="22"/>
      <c r="BB3" s="22"/>
      <c r="BD3" s="47" t="s">
        <v>32</v>
      </c>
      <c r="BE3" s="22"/>
      <c r="BF3" s="22"/>
      <c r="BG3" s="22"/>
      <c r="BH3" s="22"/>
      <c r="BI3" s="22"/>
      <c r="BJ3" s="22"/>
      <c r="BK3" s="22"/>
      <c r="BM3" s="47" t="s">
        <v>33</v>
      </c>
      <c r="BN3" s="22"/>
      <c r="BO3" s="22"/>
      <c r="BP3" s="22"/>
      <c r="BQ3" s="22"/>
      <c r="BR3" s="22"/>
      <c r="BS3" s="22"/>
      <c r="BT3" s="22"/>
      <c r="BV3" s="47" t="s">
        <v>34</v>
      </c>
      <c r="BW3" s="22"/>
      <c r="BX3" s="22"/>
      <c r="BY3" s="22"/>
      <c r="BZ3" s="22"/>
      <c r="CA3" s="22"/>
      <c r="CB3" s="22"/>
      <c r="CC3" s="22"/>
    </row>
    <row r="4" spans="2:81" ht="15" thickBot="1" x14ac:dyDescent="0.35">
      <c r="B4" s="51" t="s">
        <v>7</v>
      </c>
      <c r="C4" s="19">
        <v>45928</v>
      </c>
      <c r="D4" s="19">
        <v>45929</v>
      </c>
      <c r="E4" s="19">
        <v>45930</v>
      </c>
      <c r="F4" s="19">
        <v>45931</v>
      </c>
      <c r="G4" s="19">
        <v>45932</v>
      </c>
      <c r="H4" s="19">
        <v>45933</v>
      </c>
      <c r="I4" s="20">
        <v>45934</v>
      </c>
      <c r="K4" s="51" t="s">
        <v>7</v>
      </c>
      <c r="L4" s="19">
        <v>45928</v>
      </c>
      <c r="M4" s="19">
        <v>45929</v>
      </c>
      <c r="N4" s="19">
        <v>45930</v>
      </c>
      <c r="O4" s="19">
        <v>45931</v>
      </c>
      <c r="P4" s="19">
        <v>45932</v>
      </c>
      <c r="Q4" s="19">
        <v>45933</v>
      </c>
      <c r="R4" s="20">
        <v>45934</v>
      </c>
      <c r="T4" s="51" t="s">
        <v>7</v>
      </c>
      <c r="U4" s="24">
        <v>45928</v>
      </c>
      <c r="V4" s="24">
        <v>45929</v>
      </c>
      <c r="W4" s="24">
        <v>45930</v>
      </c>
      <c r="X4" s="24">
        <v>45931</v>
      </c>
      <c r="Y4" s="24">
        <v>45932</v>
      </c>
      <c r="Z4" s="24">
        <v>45933</v>
      </c>
      <c r="AA4" s="25">
        <v>45934</v>
      </c>
      <c r="AC4" s="51" t="s">
        <v>7</v>
      </c>
      <c r="AD4" s="24">
        <v>45928</v>
      </c>
      <c r="AE4" s="24">
        <v>45929</v>
      </c>
      <c r="AF4" s="24">
        <v>45930</v>
      </c>
      <c r="AG4" s="24">
        <v>45931</v>
      </c>
      <c r="AH4" s="24">
        <v>45932</v>
      </c>
      <c r="AI4" s="24">
        <v>45933</v>
      </c>
      <c r="AJ4" s="25">
        <v>45934</v>
      </c>
      <c r="AL4" s="51" t="s">
        <v>7</v>
      </c>
      <c r="AM4" s="24">
        <v>45928</v>
      </c>
      <c r="AN4" s="24">
        <v>45929</v>
      </c>
      <c r="AO4" s="24">
        <v>45930</v>
      </c>
      <c r="AP4" s="24">
        <v>45931</v>
      </c>
      <c r="AQ4" s="24">
        <v>45932</v>
      </c>
      <c r="AR4" s="24">
        <v>45933</v>
      </c>
      <c r="AS4" s="25">
        <v>45934</v>
      </c>
      <c r="AU4" s="51" t="s">
        <v>7</v>
      </c>
      <c r="AV4" s="24">
        <v>45928</v>
      </c>
      <c r="AW4" s="24">
        <v>45929</v>
      </c>
      <c r="AX4" s="24">
        <v>45930</v>
      </c>
      <c r="AY4" s="24">
        <v>45931</v>
      </c>
      <c r="AZ4" s="24">
        <v>45932</v>
      </c>
      <c r="BA4" s="24">
        <v>45933</v>
      </c>
      <c r="BB4" s="25">
        <v>45934</v>
      </c>
      <c r="BD4" s="51" t="s">
        <v>7</v>
      </c>
      <c r="BE4" s="24">
        <v>45928</v>
      </c>
      <c r="BF4" s="24">
        <v>45929</v>
      </c>
      <c r="BG4" s="24">
        <v>45930</v>
      </c>
      <c r="BH4" s="24">
        <v>45931</v>
      </c>
      <c r="BI4" s="24">
        <v>45932</v>
      </c>
      <c r="BJ4" s="24">
        <v>45933</v>
      </c>
      <c r="BK4" s="25">
        <v>45934</v>
      </c>
      <c r="BM4" s="51" t="s">
        <v>7</v>
      </c>
      <c r="BN4" s="24">
        <v>45928</v>
      </c>
      <c r="BO4" s="24">
        <v>45929</v>
      </c>
      <c r="BP4" s="24">
        <v>45930</v>
      </c>
      <c r="BQ4" s="24">
        <v>45931</v>
      </c>
      <c r="BR4" s="24">
        <v>45932</v>
      </c>
      <c r="BS4" s="24">
        <v>45933</v>
      </c>
      <c r="BT4" s="25">
        <v>45934</v>
      </c>
      <c r="BV4" s="51" t="s">
        <v>7</v>
      </c>
      <c r="BW4" s="24">
        <v>45928</v>
      </c>
      <c r="BX4" s="24">
        <v>45929</v>
      </c>
      <c r="BY4" s="24">
        <v>45930</v>
      </c>
      <c r="BZ4" s="24">
        <v>45931</v>
      </c>
      <c r="CA4" s="24">
        <v>45932</v>
      </c>
      <c r="CB4" s="24">
        <v>45933</v>
      </c>
      <c r="CC4" s="25">
        <v>45934</v>
      </c>
    </row>
    <row r="5" spans="2:81" ht="15" thickBot="1" x14ac:dyDescent="0.35">
      <c r="B5" s="52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K5" s="52"/>
      <c r="L5" s="2" t="s">
        <v>0</v>
      </c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T5" s="52"/>
      <c r="U5" s="2" t="s">
        <v>0</v>
      </c>
      <c r="V5" s="2" t="s">
        <v>1</v>
      </c>
      <c r="W5" s="2" t="s">
        <v>2</v>
      </c>
      <c r="X5" s="2" t="s">
        <v>3</v>
      </c>
      <c r="Y5" s="2" t="s">
        <v>4</v>
      </c>
      <c r="Z5" s="2" t="s">
        <v>5</v>
      </c>
      <c r="AA5" s="2" t="s">
        <v>6</v>
      </c>
      <c r="AC5" s="52"/>
      <c r="AD5" s="2" t="s">
        <v>0</v>
      </c>
      <c r="AE5" s="2" t="s">
        <v>1</v>
      </c>
      <c r="AF5" s="2" t="s">
        <v>2</v>
      </c>
      <c r="AG5" s="2" t="s">
        <v>3</v>
      </c>
      <c r="AH5" s="2" t="s">
        <v>4</v>
      </c>
      <c r="AI5" s="2" t="s">
        <v>5</v>
      </c>
      <c r="AJ5" s="2" t="s">
        <v>6</v>
      </c>
      <c r="AL5" s="52"/>
      <c r="AM5" s="2" t="s">
        <v>0</v>
      </c>
      <c r="AN5" s="2" t="s">
        <v>1</v>
      </c>
      <c r="AO5" s="2" t="s">
        <v>2</v>
      </c>
      <c r="AP5" s="2" t="s">
        <v>3</v>
      </c>
      <c r="AQ5" s="2" t="s">
        <v>4</v>
      </c>
      <c r="AR5" s="2" t="s">
        <v>5</v>
      </c>
      <c r="AS5" s="2" t="s">
        <v>6</v>
      </c>
      <c r="AU5" s="52"/>
      <c r="AV5" s="2" t="s">
        <v>0</v>
      </c>
      <c r="AW5" s="2" t="s">
        <v>1</v>
      </c>
      <c r="AX5" s="2" t="s">
        <v>2</v>
      </c>
      <c r="AY5" s="2" t="s">
        <v>3</v>
      </c>
      <c r="AZ5" s="2" t="s">
        <v>4</v>
      </c>
      <c r="BA5" s="2" t="s">
        <v>5</v>
      </c>
      <c r="BB5" s="2" t="s">
        <v>6</v>
      </c>
      <c r="BD5" s="52"/>
      <c r="BE5" s="2" t="s">
        <v>0</v>
      </c>
      <c r="BF5" s="2" t="s">
        <v>1</v>
      </c>
      <c r="BG5" s="2" t="s">
        <v>2</v>
      </c>
      <c r="BH5" s="2" t="s">
        <v>3</v>
      </c>
      <c r="BI5" s="2" t="s">
        <v>4</v>
      </c>
      <c r="BJ5" s="2" t="s">
        <v>5</v>
      </c>
      <c r="BK5" s="2" t="s">
        <v>6</v>
      </c>
      <c r="BM5" s="52"/>
      <c r="BN5" s="2" t="s">
        <v>0</v>
      </c>
      <c r="BO5" s="2" t="s">
        <v>1</v>
      </c>
      <c r="BP5" s="2" t="s">
        <v>2</v>
      </c>
      <c r="BQ5" s="2" t="s">
        <v>3</v>
      </c>
      <c r="BR5" s="2" t="s">
        <v>4</v>
      </c>
      <c r="BS5" s="2" t="s">
        <v>5</v>
      </c>
      <c r="BT5" s="2" t="s">
        <v>6</v>
      </c>
      <c r="BV5" s="52"/>
      <c r="BW5" s="2" t="s">
        <v>0</v>
      </c>
      <c r="BX5" s="2" t="s">
        <v>1</v>
      </c>
      <c r="BY5" s="2" t="s">
        <v>2</v>
      </c>
      <c r="BZ5" s="2" t="s">
        <v>3</v>
      </c>
      <c r="CA5" s="2" t="s">
        <v>4</v>
      </c>
      <c r="CB5" s="2" t="s">
        <v>5</v>
      </c>
      <c r="CC5" s="2" t="s">
        <v>6</v>
      </c>
    </row>
    <row r="6" spans="2:81" ht="15" thickBot="1" x14ac:dyDescent="0.35">
      <c r="B6" s="7">
        <v>0.375</v>
      </c>
      <c r="C6" s="14">
        <v>69.833333333333329</v>
      </c>
      <c r="D6" s="14">
        <v>56</v>
      </c>
      <c r="E6" s="14">
        <v>62.833333333333336</v>
      </c>
      <c r="F6" s="14">
        <v>57</v>
      </c>
      <c r="G6" s="14">
        <v>49.833333333333336</v>
      </c>
      <c r="H6" s="14">
        <v>35.666666666666664</v>
      </c>
      <c r="I6" s="15">
        <v>29.833333333333332</v>
      </c>
      <c r="K6" s="7">
        <v>0.375</v>
      </c>
      <c r="L6" s="17">
        <v>3.495745035875189E-2</v>
      </c>
      <c r="M6" s="17">
        <v>3.07467057101025E-2</v>
      </c>
      <c r="N6" s="17">
        <v>3.5079557085698355E-2</v>
      </c>
      <c r="O6" s="17">
        <v>3.1413612565445038E-2</v>
      </c>
      <c r="P6" s="17">
        <v>3.1055255504777744E-2</v>
      </c>
      <c r="Q6" s="17">
        <v>3.0115395440472835E-2</v>
      </c>
      <c r="R6" s="18">
        <v>2.9586776859504147E-2</v>
      </c>
      <c r="T6" s="7">
        <v>0.375</v>
      </c>
      <c r="U6" s="14">
        <f>$U$3*C$37*L6</f>
        <v>37.337373017287483</v>
      </c>
      <c r="V6" s="14">
        <f t="shared" ref="V6:AA6" si="0">$U$3*D$37*M6</f>
        <v>29.941186954197125</v>
      </c>
      <c r="W6" s="14">
        <f t="shared" si="0"/>
        <v>33.59472464801285</v>
      </c>
      <c r="X6" s="14">
        <f t="shared" si="0"/>
        <v>30.475851006950649</v>
      </c>
      <c r="Y6" s="14">
        <f t="shared" si="0"/>
        <v>26.644091962217086</v>
      </c>
      <c r="Z6" s="14">
        <f t="shared" si="0"/>
        <v>19.069684548208883</v>
      </c>
      <c r="AA6" s="15">
        <f t="shared" si="0"/>
        <v>15.950810907146685</v>
      </c>
      <c r="AC6" s="7">
        <v>0.375</v>
      </c>
      <c r="AD6" s="14">
        <f>(U6*$V$3)/(1800*$W$3)</f>
        <v>7.7786193786015589</v>
      </c>
      <c r="AE6" s="14">
        <f t="shared" ref="AE6:AJ6" si="1">(V6*$V$3)/(1800*$W$3)</f>
        <v>6.2377472821244009</v>
      </c>
      <c r="AF6" s="14">
        <f t="shared" si="1"/>
        <v>6.9989009683360113</v>
      </c>
      <c r="AG6" s="14">
        <f t="shared" si="1"/>
        <v>6.3491356264480512</v>
      </c>
      <c r="AH6" s="14">
        <f t="shared" si="1"/>
        <v>5.55085249212856</v>
      </c>
      <c r="AI6" s="14">
        <f t="shared" si="1"/>
        <v>3.9728509475435172</v>
      </c>
      <c r="AJ6" s="15">
        <f t="shared" si="1"/>
        <v>3.3230856056555593</v>
      </c>
      <c r="AL6" s="7">
        <v>0.375</v>
      </c>
      <c r="AM6" s="22">
        <f>Roster!G$55</f>
        <v>24</v>
      </c>
      <c r="AN6" s="22">
        <f>Roster!H$55</f>
        <v>19</v>
      </c>
      <c r="AO6" s="22">
        <f>Roster!I$55</f>
        <v>19</v>
      </c>
      <c r="AP6" s="22">
        <f>Roster!J$55</f>
        <v>15</v>
      </c>
      <c r="AQ6" s="22">
        <f>Roster!K$55</f>
        <v>15</v>
      </c>
      <c r="AR6" s="22">
        <f>Roster!L$55</f>
        <v>15</v>
      </c>
      <c r="AS6" s="48">
        <f>Roster!M$55</f>
        <v>15</v>
      </c>
      <c r="AU6" s="7">
        <v>0.375</v>
      </c>
      <c r="AV6" s="14">
        <f>AM6*(1-32%)</f>
        <v>16.32</v>
      </c>
      <c r="AW6" s="14">
        <f t="shared" ref="AW6:BB6" si="2">AN6*(1-32%)</f>
        <v>12.919999999999998</v>
      </c>
      <c r="AX6" s="14">
        <f t="shared" si="2"/>
        <v>12.919999999999998</v>
      </c>
      <c r="AY6" s="14">
        <f t="shared" si="2"/>
        <v>10.199999999999999</v>
      </c>
      <c r="AZ6" s="14">
        <f t="shared" si="2"/>
        <v>10.199999999999999</v>
      </c>
      <c r="BA6" s="14">
        <f t="shared" si="2"/>
        <v>10.199999999999999</v>
      </c>
      <c r="BB6" s="15">
        <f t="shared" si="2"/>
        <v>10.199999999999999</v>
      </c>
      <c r="BD6" s="7">
        <v>0.375</v>
      </c>
      <c r="BE6" s="14">
        <f>AV6*1800*$W$3/300</f>
        <v>78.336000000000013</v>
      </c>
      <c r="BF6" s="14">
        <f t="shared" ref="BF6:BK6" si="3">AW6*1800*$W$3/300</f>
        <v>62.015999999999998</v>
      </c>
      <c r="BG6" s="14">
        <f t="shared" si="3"/>
        <v>62.015999999999998</v>
      </c>
      <c r="BH6" s="14">
        <f t="shared" si="3"/>
        <v>48.96</v>
      </c>
      <c r="BI6" s="14">
        <f t="shared" si="3"/>
        <v>48.96</v>
      </c>
      <c r="BJ6" s="14">
        <f t="shared" si="3"/>
        <v>48.96</v>
      </c>
      <c r="BK6" s="15">
        <f t="shared" si="3"/>
        <v>48.96</v>
      </c>
      <c r="BM6" s="7">
        <v>0.375</v>
      </c>
      <c r="BN6" s="14">
        <f>AV6-AD6</f>
        <v>8.5413806213984422</v>
      </c>
      <c r="BO6" s="14">
        <f t="shared" ref="BO6:BT6" si="4">AW6-AE6</f>
        <v>6.6822527178755973</v>
      </c>
      <c r="BP6" s="14">
        <f t="shared" si="4"/>
        <v>5.9210990316639869</v>
      </c>
      <c r="BQ6" s="14">
        <f t="shared" si="4"/>
        <v>3.8508643735519481</v>
      </c>
      <c r="BR6" s="14">
        <f t="shared" si="4"/>
        <v>4.6491475078714393</v>
      </c>
      <c r="BS6" s="14">
        <f t="shared" si="4"/>
        <v>6.2271490524564825</v>
      </c>
      <c r="BT6" s="15">
        <f t="shared" si="4"/>
        <v>6.87691439434444</v>
      </c>
      <c r="BV6" s="7">
        <v>0.375</v>
      </c>
      <c r="BW6" s="14">
        <f>BE6-U6</f>
        <v>40.99862698271253</v>
      </c>
      <c r="BX6" s="14">
        <f t="shared" ref="BX6:CC6" si="5">BF6-V6</f>
        <v>32.07481304580287</v>
      </c>
      <c r="BY6" s="14">
        <f t="shared" si="5"/>
        <v>28.421275351987148</v>
      </c>
      <c r="BZ6" s="14">
        <f t="shared" si="5"/>
        <v>18.484148993049352</v>
      </c>
      <c r="CA6" s="14">
        <f t="shared" si="5"/>
        <v>22.315908037782915</v>
      </c>
      <c r="CB6" s="14">
        <f t="shared" si="5"/>
        <v>29.890315451791118</v>
      </c>
      <c r="CC6" s="15">
        <f t="shared" si="5"/>
        <v>33.009189092853319</v>
      </c>
    </row>
    <row r="7" spans="2:81" ht="15" thickBot="1" x14ac:dyDescent="0.35">
      <c r="B7" s="3">
        <v>0.39583333333333331</v>
      </c>
      <c r="C7" s="14">
        <v>79.833333333333329</v>
      </c>
      <c r="D7" s="14">
        <v>76.833333333333329</v>
      </c>
      <c r="E7" s="14">
        <v>73</v>
      </c>
      <c r="F7" s="14">
        <v>71</v>
      </c>
      <c r="G7" s="14">
        <v>60.833333333333336</v>
      </c>
      <c r="H7" s="14">
        <v>44.833333333333336</v>
      </c>
      <c r="I7" s="15">
        <v>32.666666666666664</v>
      </c>
      <c r="K7" s="3">
        <v>0.39583333333333331</v>
      </c>
      <c r="L7" s="17">
        <v>3.9963290505589874E-2</v>
      </c>
      <c r="M7" s="17">
        <v>4.2185212298682301E-2</v>
      </c>
      <c r="N7" s="17">
        <v>4.0755559691076595E-2</v>
      </c>
      <c r="O7" s="17">
        <v>3.9129236704326276E-2</v>
      </c>
      <c r="P7" s="17">
        <v>3.7910261736601593E-2</v>
      </c>
      <c r="Q7" s="17">
        <v>3.785533352096819E-2</v>
      </c>
      <c r="R7" s="18">
        <v>3.2396694214876051E-2</v>
      </c>
      <c r="T7" s="3">
        <v>0.39583333333333331</v>
      </c>
      <c r="U7" s="14">
        <f t="shared" ref="U7:U35" si="6">$U$3*C$37*L7</f>
        <v>42.68401354482269</v>
      </c>
      <c r="V7" s="14">
        <f t="shared" ref="V7:V35" si="7">$U$3*D$37*M7</f>
        <v>41.08002138656213</v>
      </c>
      <c r="W7" s="14">
        <f t="shared" ref="W7:W35" si="8">$U$3*E$37*N7</f>
        <v>39.030475851006962</v>
      </c>
      <c r="X7" s="14">
        <f t="shared" ref="X7:X35" si="9">$U$3*F$37*O7</f>
        <v>37.961147745499929</v>
      </c>
      <c r="Y7" s="14">
        <f t="shared" ref="Y7:Y35" si="10">$U$3*G$37*P7</f>
        <v>32.52539654250581</v>
      </c>
      <c r="Z7" s="14">
        <f t="shared" ref="Z7:Z35" si="11">$U$3*H$37*Q7</f>
        <v>23.970771698449486</v>
      </c>
      <c r="AA7" s="15">
        <f t="shared" ref="AA7:AA35" si="12">$U$3*I$37*R7</f>
        <v>17.465692389948327</v>
      </c>
      <c r="AC7" s="3">
        <v>0.39583333333333331</v>
      </c>
      <c r="AD7" s="14">
        <f t="shared" ref="AD7:AD35" si="13">(U7*$V$3)/(1800*$W$3)</f>
        <v>8.8925028218380611</v>
      </c>
      <c r="AE7" s="14">
        <f t="shared" ref="AE7:AE35" si="14">(V7*$V$3)/(1800*$W$3)</f>
        <v>8.5583377888671102</v>
      </c>
      <c r="AF7" s="14">
        <f t="shared" ref="AF7:AF35" si="15">(W7*$V$3)/(1800*$W$3)</f>
        <v>8.1313491356264507</v>
      </c>
      <c r="AG7" s="14">
        <f t="shared" ref="AG7:AG35" si="16">(X7*$V$3)/(1800*$W$3)</f>
        <v>7.9085724469791518</v>
      </c>
      <c r="AH7" s="14">
        <f t="shared" ref="AH7:AH35" si="17">(Y7*$V$3)/(1800*$W$3)</f>
        <v>6.7761242796887107</v>
      </c>
      <c r="AI7" s="14">
        <f t="shared" ref="AI7:AI35" si="18">(Z7*$V$3)/(1800*$W$3)</f>
        <v>4.9939107705103094</v>
      </c>
      <c r="AJ7" s="15">
        <f t="shared" ref="AJ7:AJ35" si="19">(AA7*$V$3)/(1800*$W$3)</f>
        <v>3.6386859145725681</v>
      </c>
      <c r="AL7" s="3">
        <v>0.39583333333333331</v>
      </c>
      <c r="AM7" s="22">
        <f>Roster!G$55</f>
        <v>24</v>
      </c>
      <c r="AN7" s="22">
        <f>Roster!H$55</f>
        <v>19</v>
      </c>
      <c r="AO7" s="22">
        <f>Roster!I$55</f>
        <v>19</v>
      </c>
      <c r="AP7" s="22">
        <f>Roster!J$55</f>
        <v>15</v>
      </c>
      <c r="AQ7" s="22">
        <f>Roster!K$55</f>
        <v>15</v>
      </c>
      <c r="AR7" s="22">
        <f>Roster!L$55</f>
        <v>15</v>
      </c>
      <c r="AS7" s="48">
        <f>Roster!M$55</f>
        <v>15</v>
      </c>
      <c r="AU7" s="3">
        <v>0.39583333333333331</v>
      </c>
      <c r="AV7" s="14">
        <f t="shared" ref="AV7:AV35" si="20">AM7*(1-32%)</f>
        <v>16.32</v>
      </c>
      <c r="AW7" s="14">
        <f t="shared" ref="AW7:AW35" si="21">AN7*(1-32%)</f>
        <v>12.919999999999998</v>
      </c>
      <c r="AX7" s="14">
        <f t="shared" ref="AX7:AX35" si="22">AO7*(1-32%)</f>
        <v>12.919999999999998</v>
      </c>
      <c r="AY7" s="14">
        <f t="shared" ref="AY7:AY35" si="23">AP7*(1-32%)</f>
        <v>10.199999999999999</v>
      </c>
      <c r="AZ7" s="14">
        <f t="shared" ref="AZ7:AZ35" si="24">AQ7*(1-32%)</f>
        <v>10.199999999999999</v>
      </c>
      <c r="BA7" s="14">
        <f t="shared" ref="BA7:BA35" si="25">AR7*(1-32%)</f>
        <v>10.199999999999999</v>
      </c>
      <c r="BB7" s="15">
        <f t="shared" ref="BB7:BB35" si="26">AS7*(1-32%)</f>
        <v>10.199999999999999</v>
      </c>
      <c r="BD7" s="3">
        <v>0.39583333333333331</v>
      </c>
      <c r="BE7" s="14">
        <f t="shared" ref="BE7:BE35" si="27">AV7*1800*$W$3/300</f>
        <v>78.336000000000013</v>
      </c>
      <c r="BF7" s="14">
        <f t="shared" ref="BF7:BF35" si="28">AW7*1800*$W$3/300</f>
        <v>62.015999999999998</v>
      </c>
      <c r="BG7" s="14">
        <f t="shared" ref="BG7:BG35" si="29">AX7*1800*$W$3/300</f>
        <v>62.015999999999998</v>
      </c>
      <c r="BH7" s="14">
        <f t="shared" ref="BH7:BH35" si="30">AY7*1800*$W$3/300</f>
        <v>48.96</v>
      </c>
      <c r="BI7" s="14">
        <f t="shared" ref="BI7:BI35" si="31">AZ7*1800*$W$3/300</f>
        <v>48.96</v>
      </c>
      <c r="BJ7" s="14">
        <f t="shared" ref="BJ7:BJ35" si="32">BA7*1800*$W$3/300</f>
        <v>48.96</v>
      </c>
      <c r="BK7" s="15">
        <f t="shared" ref="BK7:BK35" si="33">BB7*1800*$W$3/300</f>
        <v>48.96</v>
      </c>
      <c r="BM7" s="3">
        <v>0.39583333333333331</v>
      </c>
      <c r="BN7" s="14">
        <f t="shared" ref="BN7:BN35" si="34">AV7-AD7</f>
        <v>7.4274971781619392</v>
      </c>
      <c r="BO7" s="14">
        <f t="shared" ref="BO7:BO35" si="35">AW7-AE7</f>
        <v>4.361662211132888</v>
      </c>
      <c r="BP7" s="14">
        <f t="shared" ref="BP7:BP35" si="36">AX7-AF7</f>
        <v>4.7886508643735475</v>
      </c>
      <c r="BQ7" s="14">
        <f t="shared" ref="BQ7:BQ35" si="37">AY7-AG7</f>
        <v>2.2914275530208474</v>
      </c>
      <c r="BR7" s="14">
        <f t="shared" ref="BR7:BR35" si="38">AZ7-AH7</f>
        <v>3.4238757203112886</v>
      </c>
      <c r="BS7" s="14">
        <f t="shared" ref="BS7:BS35" si="39">BA7-AI7</f>
        <v>5.2060892294896899</v>
      </c>
      <c r="BT7" s="15">
        <f t="shared" ref="BT7:BT35" si="40">BB7-AJ7</f>
        <v>6.5613140854274317</v>
      </c>
      <c r="BV7" s="3">
        <v>0.39583333333333331</v>
      </c>
      <c r="BW7" s="14">
        <f t="shared" ref="BW7:BW35" si="41">BE7-U7</f>
        <v>35.651986455177322</v>
      </c>
      <c r="BX7" s="14">
        <f t="shared" ref="BX7:BX35" si="42">BF7-V7</f>
        <v>20.935978613437868</v>
      </c>
      <c r="BY7" s="14">
        <f t="shared" ref="BY7:BY35" si="43">BG7-W7</f>
        <v>22.985524148993036</v>
      </c>
      <c r="BZ7" s="14">
        <f t="shared" ref="BZ7:BZ35" si="44">BH7-X7</f>
        <v>10.998852254500072</v>
      </c>
      <c r="CA7" s="14">
        <f t="shared" ref="CA7:CA35" si="45">BI7-Y7</f>
        <v>16.434603457494191</v>
      </c>
      <c r="CB7" s="14">
        <f t="shared" ref="CB7:CB35" si="46">BJ7-Z7</f>
        <v>24.989228301550515</v>
      </c>
      <c r="CC7" s="15">
        <f t="shared" ref="CC7:CC35" si="47">BK7-AA7</f>
        <v>31.494307610051674</v>
      </c>
    </row>
    <row r="8" spans="2:81" ht="15" thickBot="1" x14ac:dyDescent="0.35">
      <c r="B8" s="3">
        <v>0.41666666666666669</v>
      </c>
      <c r="C8" s="14">
        <v>84.833333333333329</v>
      </c>
      <c r="D8" s="14">
        <v>77.833333333333329</v>
      </c>
      <c r="E8" s="14">
        <v>77.833333333333329</v>
      </c>
      <c r="F8" s="14">
        <v>78</v>
      </c>
      <c r="G8" s="14">
        <v>66.833333333333329</v>
      </c>
      <c r="H8" s="14">
        <v>52.833333333333336</v>
      </c>
      <c r="I8" s="15">
        <v>33.833333333333336</v>
      </c>
      <c r="K8" s="3">
        <v>0.41666666666666669</v>
      </c>
      <c r="L8" s="17">
        <v>4.2466210579008866E-2</v>
      </c>
      <c r="M8" s="17">
        <v>4.2734260614934128E-2</v>
      </c>
      <c r="N8" s="17">
        <v>4.3453987159207237E-2</v>
      </c>
      <c r="O8" s="17">
        <v>4.2987048773766891E-2</v>
      </c>
      <c r="P8" s="17">
        <v>4.1649356044869142E-2</v>
      </c>
      <c r="Q8" s="17">
        <v>4.461018857303687E-2</v>
      </c>
      <c r="R8" s="18">
        <v>3.3553719008264482E-2</v>
      </c>
      <c r="T8" s="3">
        <v>0.41666666666666669</v>
      </c>
      <c r="U8" s="14">
        <f t="shared" si="6"/>
        <v>45.35733380859029</v>
      </c>
      <c r="V8" s="14">
        <f t="shared" si="7"/>
        <v>41.614685439315643</v>
      </c>
      <c r="W8" s="14">
        <f t="shared" si="8"/>
        <v>41.614685439315643</v>
      </c>
      <c r="X8" s="14">
        <f t="shared" si="9"/>
        <v>41.703796114774569</v>
      </c>
      <c r="Y8" s="14">
        <f t="shared" si="10"/>
        <v>35.733380859026923</v>
      </c>
      <c r="Z8" s="14">
        <f t="shared" si="11"/>
        <v>28.248084120477653</v>
      </c>
      <c r="AA8" s="15">
        <f t="shared" si="12"/>
        <v>18.089467118160769</v>
      </c>
      <c r="AC8" s="3">
        <v>0.41666666666666669</v>
      </c>
      <c r="AD8" s="14">
        <f t="shared" si="13"/>
        <v>9.4494445434563108</v>
      </c>
      <c r="AE8" s="14">
        <f t="shared" si="14"/>
        <v>8.6697261331907587</v>
      </c>
      <c r="AF8" s="14">
        <f t="shared" si="15"/>
        <v>8.6697261331907587</v>
      </c>
      <c r="AG8" s="14">
        <f t="shared" si="16"/>
        <v>8.6882908572447022</v>
      </c>
      <c r="AH8" s="14">
        <f t="shared" si="17"/>
        <v>7.4444543456306089</v>
      </c>
      <c r="AI8" s="14">
        <f t="shared" si="18"/>
        <v>5.8850175250995109</v>
      </c>
      <c r="AJ8" s="15">
        <f t="shared" si="19"/>
        <v>3.7686389829501601</v>
      </c>
      <c r="AL8" s="3">
        <v>0.41666666666666669</v>
      </c>
      <c r="AM8" s="22">
        <f>Roster!G$55+Roster!G$56</f>
        <v>24</v>
      </c>
      <c r="AN8" s="22">
        <f>Roster!H$55+Roster!H$56</f>
        <v>19</v>
      </c>
      <c r="AO8" s="22">
        <f>Roster!I$55+Roster!I$56</f>
        <v>19</v>
      </c>
      <c r="AP8" s="22">
        <f>Roster!J$55+Roster!J$56</f>
        <v>15</v>
      </c>
      <c r="AQ8" s="22">
        <f>Roster!K$55+Roster!K$56</f>
        <v>15</v>
      </c>
      <c r="AR8" s="22">
        <f>Roster!L$55+Roster!L$56</f>
        <v>15</v>
      </c>
      <c r="AS8" s="48">
        <f>Roster!M$55+Roster!M$56</f>
        <v>15</v>
      </c>
      <c r="AU8" s="3">
        <v>0.41666666666666669</v>
      </c>
      <c r="AV8" s="14">
        <f t="shared" si="20"/>
        <v>16.32</v>
      </c>
      <c r="AW8" s="14">
        <f t="shared" si="21"/>
        <v>12.919999999999998</v>
      </c>
      <c r="AX8" s="14">
        <f t="shared" si="22"/>
        <v>12.919999999999998</v>
      </c>
      <c r="AY8" s="14">
        <f t="shared" si="23"/>
        <v>10.199999999999999</v>
      </c>
      <c r="AZ8" s="14">
        <f t="shared" si="24"/>
        <v>10.199999999999999</v>
      </c>
      <c r="BA8" s="14">
        <f t="shared" si="25"/>
        <v>10.199999999999999</v>
      </c>
      <c r="BB8" s="15">
        <f t="shared" si="26"/>
        <v>10.199999999999999</v>
      </c>
      <c r="BD8" s="3">
        <v>0.41666666666666669</v>
      </c>
      <c r="BE8" s="14">
        <f t="shared" si="27"/>
        <v>78.336000000000013</v>
      </c>
      <c r="BF8" s="14">
        <f t="shared" si="28"/>
        <v>62.015999999999998</v>
      </c>
      <c r="BG8" s="14">
        <f t="shared" si="29"/>
        <v>62.015999999999998</v>
      </c>
      <c r="BH8" s="14">
        <f t="shared" si="30"/>
        <v>48.96</v>
      </c>
      <c r="BI8" s="14">
        <f t="shared" si="31"/>
        <v>48.96</v>
      </c>
      <c r="BJ8" s="14">
        <f t="shared" si="32"/>
        <v>48.96</v>
      </c>
      <c r="BK8" s="15">
        <f t="shared" si="33"/>
        <v>48.96</v>
      </c>
      <c r="BM8" s="3">
        <v>0.41666666666666669</v>
      </c>
      <c r="BN8" s="14">
        <f t="shared" si="34"/>
        <v>6.8705554565436895</v>
      </c>
      <c r="BO8" s="14">
        <f t="shared" si="35"/>
        <v>4.2502738668092395</v>
      </c>
      <c r="BP8" s="14">
        <f t="shared" si="36"/>
        <v>4.2502738668092395</v>
      </c>
      <c r="BQ8" s="14">
        <f t="shared" si="37"/>
        <v>1.5117091427552971</v>
      </c>
      <c r="BR8" s="14">
        <f t="shared" si="38"/>
        <v>2.7555456543693904</v>
      </c>
      <c r="BS8" s="14">
        <f t="shared" si="39"/>
        <v>4.3149824749004884</v>
      </c>
      <c r="BT8" s="15">
        <f t="shared" si="40"/>
        <v>6.4313610170498396</v>
      </c>
      <c r="BV8" s="3">
        <v>0.41666666666666669</v>
      </c>
      <c r="BW8" s="14">
        <f t="shared" si="41"/>
        <v>32.978666191409722</v>
      </c>
      <c r="BX8" s="14">
        <f t="shared" si="42"/>
        <v>20.401314560684355</v>
      </c>
      <c r="BY8" s="14">
        <f t="shared" si="43"/>
        <v>20.401314560684355</v>
      </c>
      <c r="BZ8" s="14">
        <f t="shared" si="44"/>
        <v>7.2562038852254318</v>
      </c>
      <c r="CA8" s="14">
        <f t="shared" si="45"/>
        <v>13.226619140973078</v>
      </c>
      <c r="CB8" s="14">
        <f t="shared" si="46"/>
        <v>20.711915879522348</v>
      </c>
      <c r="CC8" s="15">
        <f t="shared" si="47"/>
        <v>30.870532881839232</v>
      </c>
    </row>
    <row r="9" spans="2:81" ht="15" thickBot="1" x14ac:dyDescent="0.35">
      <c r="B9" s="3">
        <v>0.4375</v>
      </c>
      <c r="C9" s="14">
        <v>88.833333333333329</v>
      </c>
      <c r="D9" s="14">
        <v>82</v>
      </c>
      <c r="E9" s="14">
        <v>80.833333333333329</v>
      </c>
      <c r="F9" s="14">
        <v>81.833333333333329</v>
      </c>
      <c r="G9" s="14">
        <v>73.833333333333329</v>
      </c>
      <c r="H9" s="14">
        <v>52.833333333333336</v>
      </c>
      <c r="I9" s="15">
        <v>37.666666666666664</v>
      </c>
      <c r="K9" s="3">
        <v>0.4375</v>
      </c>
      <c r="L9" s="17">
        <v>4.4468546637744057E-2</v>
      </c>
      <c r="M9" s="17">
        <v>4.5021961932650095E-2</v>
      </c>
      <c r="N9" s="17">
        <v>4.5128873173909019E-2</v>
      </c>
      <c r="O9" s="17">
        <v>4.5099660145127229E-2</v>
      </c>
      <c r="P9" s="17">
        <v>4.601163273784796E-2</v>
      </c>
      <c r="Q9" s="17">
        <v>4.461018857303687E-2</v>
      </c>
      <c r="R9" s="18">
        <v>3.735537190082646E-2</v>
      </c>
      <c r="T9" s="3">
        <v>0.4375</v>
      </c>
      <c r="U9" s="14">
        <f t="shared" si="6"/>
        <v>47.495990019604371</v>
      </c>
      <c r="V9" s="14">
        <f t="shared" si="7"/>
        <v>43.842452325788656</v>
      </c>
      <c r="W9" s="14">
        <f t="shared" si="8"/>
        <v>43.21867759757621</v>
      </c>
      <c r="X9" s="14">
        <f t="shared" si="9"/>
        <v>43.75334165032973</v>
      </c>
      <c r="Y9" s="14">
        <f t="shared" si="10"/>
        <v>39.47602922830157</v>
      </c>
      <c r="Z9" s="14">
        <f t="shared" si="11"/>
        <v>28.248084120477653</v>
      </c>
      <c r="AA9" s="15">
        <f t="shared" si="12"/>
        <v>20.139012653715923</v>
      </c>
      <c r="AC9" s="3">
        <v>0.4375</v>
      </c>
      <c r="AD9" s="14">
        <f t="shared" si="13"/>
        <v>9.8949979207509102</v>
      </c>
      <c r="AE9" s="14">
        <f t="shared" si="14"/>
        <v>9.1338442345393034</v>
      </c>
      <c r="AF9" s="14">
        <f t="shared" si="15"/>
        <v>9.0038911661617114</v>
      </c>
      <c r="AG9" s="14">
        <f t="shared" si="16"/>
        <v>9.1152795104853599</v>
      </c>
      <c r="AH9" s="14">
        <f t="shared" si="17"/>
        <v>8.224172755896161</v>
      </c>
      <c r="AI9" s="14">
        <f t="shared" si="18"/>
        <v>5.8850175250995109</v>
      </c>
      <c r="AJ9" s="15">
        <f t="shared" si="19"/>
        <v>4.1956276361908174</v>
      </c>
      <c r="AL9" s="3">
        <v>0.4375</v>
      </c>
      <c r="AM9" s="22">
        <f>Roster!G$55+Roster!G$56</f>
        <v>24</v>
      </c>
      <c r="AN9" s="22">
        <f>Roster!H$55+Roster!H$56</f>
        <v>19</v>
      </c>
      <c r="AO9" s="22">
        <f>Roster!I$55+Roster!I$56</f>
        <v>19</v>
      </c>
      <c r="AP9" s="22">
        <f>Roster!J$55+Roster!J$56</f>
        <v>15</v>
      </c>
      <c r="AQ9" s="22">
        <f>Roster!K$55+Roster!K$56</f>
        <v>15</v>
      </c>
      <c r="AR9" s="22">
        <f>Roster!L$55+Roster!L$56</f>
        <v>15</v>
      </c>
      <c r="AS9" s="48">
        <f>Roster!M$55+Roster!M$56</f>
        <v>15</v>
      </c>
      <c r="AU9" s="3">
        <v>0.4375</v>
      </c>
      <c r="AV9" s="14">
        <f t="shared" si="20"/>
        <v>16.32</v>
      </c>
      <c r="AW9" s="14">
        <f t="shared" si="21"/>
        <v>12.919999999999998</v>
      </c>
      <c r="AX9" s="14">
        <f t="shared" si="22"/>
        <v>12.919999999999998</v>
      </c>
      <c r="AY9" s="14">
        <f t="shared" si="23"/>
        <v>10.199999999999999</v>
      </c>
      <c r="AZ9" s="14">
        <f t="shared" si="24"/>
        <v>10.199999999999999</v>
      </c>
      <c r="BA9" s="14">
        <f t="shared" si="25"/>
        <v>10.199999999999999</v>
      </c>
      <c r="BB9" s="15">
        <f t="shared" si="26"/>
        <v>10.199999999999999</v>
      </c>
      <c r="BD9" s="3">
        <v>0.4375</v>
      </c>
      <c r="BE9" s="14">
        <f t="shared" si="27"/>
        <v>78.336000000000013</v>
      </c>
      <c r="BF9" s="14">
        <f t="shared" si="28"/>
        <v>62.015999999999998</v>
      </c>
      <c r="BG9" s="14">
        <f t="shared" si="29"/>
        <v>62.015999999999998</v>
      </c>
      <c r="BH9" s="14">
        <f t="shared" si="30"/>
        <v>48.96</v>
      </c>
      <c r="BI9" s="14">
        <f t="shared" si="31"/>
        <v>48.96</v>
      </c>
      <c r="BJ9" s="14">
        <f t="shared" si="32"/>
        <v>48.96</v>
      </c>
      <c r="BK9" s="15">
        <f t="shared" si="33"/>
        <v>48.96</v>
      </c>
      <c r="BM9" s="3">
        <v>0.4375</v>
      </c>
      <c r="BN9" s="14">
        <f t="shared" si="34"/>
        <v>6.4250020792490901</v>
      </c>
      <c r="BO9" s="14">
        <f t="shared" si="35"/>
        <v>3.7861557654606948</v>
      </c>
      <c r="BP9" s="14">
        <f t="shared" si="36"/>
        <v>3.9161088338382868</v>
      </c>
      <c r="BQ9" s="14">
        <f t="shared" si="37"/>
        <v>1.0847204895146394</v>
      </c>
      <c r="BR9" s="14">
        <f t="shared" si="38"/>
        <v>1.9758272441038383</v>
      </c>
      <c r="BS9" s="14">
        <f t="shared" si="39"/>
        <v>4.3149824749004884</v>
      </c>
      <c r="BT9" s="15">
        <f t="shared" si="40"/>
        <v>6.0043723638091819</v>
      </c>
      <c r="BV9" s="3">
        <v>0.4375</v>
      </c>
      <c r="BW9" s="14">
        <f t="shared" si="41"/>
        <v>30.840009980395642</v>
      </c>
      <c r="BX9" s="14">
        <f t="shared" si="42"/>
        <v>18.173547674211342</v>
      </c>
      <c r="BY9" s="14">
        <f t="shared" si="43"/>
        <v>18.797322402423788</v>
      </c>
      <c r="BZ9" s="14">
        <f t="shared" si="44"/>
        <v>5.2066583496702705</v>
      </c>
      <c r="CA9" s="14">
        <f t="shared" si="45"/>
        <v>9.4839707716984307</v>
      </c>
      <c r="CB9" s="14">
        <f t="shared" si="46"/>
        <v>20.711915879522348</v>
      </c>
      <c r="CC9" s="15">
        <f t="shared" si="47"/>
        <v>28.820987346284078</v>
      </c>
    </row>
    <row r="10" spans="2:81" ht="15" thickBot="1" x14ac:dyDescent="0.35">
      <c r="B10" s="3">
        <v>0.45833333333333331</v>
      </c>
      <c r="C10" s="14">
        <v>91.833333333333329</v>
      </c>
      <c r="D10" s="14">
        <v>79.833333333333329</v>
      </c>
      <c r="E10" s="14">
        <v>81.833333333333329</v>
      </c>
      <c r="F10" s="14">
        <v>76.833333333333329</v>
      </c>
      <c r="G10" s="14">
        <v>69.833333333333329</v>
      </c>
      <c r="H10" s="14">
        <v>58.833333333333336</v>
      </c>
      <c r="I10" s="15">
        <v>42.666666666666664</v>
      </c>
      <c r="K10" s="3">
        <v>0.45833333333333331</v>
      </c>
      <c r="L10" s="17">
        <v>4.5970298681795453E-2</v>
      </c>
      <c r="M10" s="17">
        <v>4.3832357247437788E-2</v>
      </c>
      <c r="N10" s="17">
        <v>4.5687168512142939E-2</v>
      </c>
      <c r="O10" s="17">
        <v>4.2344080095526787E-2</v>
      </c>
      <c r="P10" s="17">
        <v>4.3518903199002923E-2</v>
      </c>
      <c r="Q10" s="17">
        <v>4.9676329862088371E-2</v>
      </c>
      <c r="R10" s="18">
        <v>4.2314049586776876E-2</v>
      </c>
      <c r="T10" s="3">
        <v>0.45833333333333331</v>
      </c>
      <c r="U10" s="14">
        <f t="shared" si="6"/>
        <v>49.099982177864938</v>
      </c>
      <c r="V10" s="14">
        <f t="shared" si="7"/>
        <v>42.684013544822683</v>
      </c>
      <c r="W10" s="14">
        <f t="shared" si="8"/>
        <v>43.753341650329723</v>
      </c>
      <c r="X10" s="14">
        <f t="shared" si="9"/>
        <v>41.080021386562123</v>
      </c>
      <c r="Y10" s="14">
        <f t="shared" si="10"/>
        <v>37.33737301728749</v>
      </c>
      <c r="Z10" s="14">
        <f t="shared" si="11"/>
        <v>31.45606843699877</v>
      </c>
      <c r="AA10" s="15">
        <f t="shared" si="12"/>
        <v>22.812332917483527</v>
      </c>
      <c r="AC10" s="3">
        <v>0.45833333333333331</v>
      </c>
      <c r="AD10" s="14">
        <f t="shared" si="13"/>
        <v>10.229162953721861</v>
      </c>
      <c r="AE10" s="14">
        <f t="shared" si="14"/>
        <v>8.8925028218380593</v>
      </c>
      <c r="AF10" s="14">
        <f t="shared" si="15"/>
        <v>9.1152795104853599</v>
      </c>
      <c r="AG10" s="14">
        <f t="shared" si="16"/>
        <v>8.5583377888671084</v>
      </c>
      <c r="AH10" s="14">
        <f t="shared" si="17"/>
        <v>7.7786193786015598</v>
      </c>
      <c r="AI10" s="14">
        <f t="shared" si="18"/>
        <v>6.5533475910414101</v>
      </c>
      <c r="AJ10" s="15">
        <f t="shared" si="19"/>
        <v>4.752569357809068</v>
      </c>
      <c r="AL10" s="3">
        <v>0.45833333333333331</v>
      </c>
      <c r="AM10" s="22">
        <f>Roster!G$55+Roster!G$56</f>
        <v>24</v>
      </c>
      <c r="AN10" s="22">
        <f>Roster!H$55+Roster!H$56</f>
        <v>19</v>
      </c>
      <c r="AO10" s="22">
        <f>Roster!I$55+Roster!I$56</f>
        <v>19</v>
      </c>
      <c r="AP10" s="22">
        <f>Roster!J$55+Roster!J$56</f>
        <v>15</v>
      </c>
      <c r="AQ10" s="22">
        <f>Roster!K$55+Roster!K$56</f>
        <v>15</v>
      </c>
      <c r="AR10" s="22">
        <f>Roster!L$55+Roster!L$56</f>
        <v>15</v>
      </c>
      <c r="AS10" s="48">
        <f>Roster!M$55+Roster!M$56</f>
        <v>15</v>
      </c>
      <c r="AU10" s="3">
        <v>0.45833333333333331</v>
      </c>
      <c r="AV10" s="14">
        <f t="shared" si="20"/>
        <v>16.32</v>
      </c>
      <c r="AW10" s="14">
        <f t="shared" si="21"/>
        <v>12.919999999999998</v>
      </c>
      <c r="AX10" s="14">
        <f t="shared" si="22"/>
        <v>12.919999999999998</v>
      </c>
      <c r="AY10" s="14">
        <f t="shared" si="23"/>
        <v>10.199999999999999</v>
      </c>
      <c r="AZ10" s="14">
        <f t="shared" si="24"/>
        <v>10.199999999999999</v>
      </c>
      <c r="BA10" s="14">
        <f t="shared" si="25"/>
        <v>10.199999999999999</v>
      </c>
      <c r="BB10" s="15">
        <f t="shared" si="26"/>
        <v>10.199999999999999</v>
      </c>
      <c r="BD10" s="3">
        <v>0.45833333333333331</v>
      </c>
      <c r="BE10" s="14">
        <f t="shared" si="27"/>
        <v>78.336000000000013</v>
      </c>
      <c r="BF10" s="14">
        <f t="shared" si="28"/>
        <v>62.015999999999998</v>
      </c>
      <c r="BG10" s="14">
        <f t="shared" si="29"/>
        <v>62.015999999999998</v>
      </c>
      <c r="BH10" s="14">
        <f t="shared" si="30"/>
        <v>48.96</v>
      </c>
      <c r="BI10" s="14">
        <f t="shared" si="31"/>
        <v>48.96</v>
      </c>
      <c r="BJ10" s="14">
        <f t="shared" si="32"/>
        <v>48.96</v>
      </c>
      <c r="BK10" s="15">
        <f t="shared" si="33"/>
        <v>48.96</v>
      </c>
      <c r="BM10" s="3">
        <v>0.45833333333333331</v>
      </c>
      <c r="BN10" s="14">
        <f t="shared" si="34"/>
        <v>6.0908370462781392</v>
      </c>
      <c r="BO10" s="14">
        <f t="shared" si="35"/>
        <v>4.0274971781619389</v>
      </c>
      <c r="BP10" s="14">
        <f t="shared" si="36"/>
        <v>3.8047204895146383</v>
      </c>
      <c r="BQ10" s="14">
        <f t="shared" si="37"/>
        <v>1.6416622111328909</v>
      </c>
      <c r="BR10" s="14">
        <f t="shared" si="38"/>
        <v>2.4213806213984395</v>
      </c>
      <c r="BS10" s="14">
        <f t="shared" si="39"/>
        <v>3.6466524089585892</v>
      </c>
      <c r="BT10" s="15">
        <f t="shared" si="40"/>
        <v>5.4474306421909313</v>
      </c>
      <c r="BV10" s="3">
        <v>0.45833333333333331</v>
      </c>
      <c r="BW10" s="14">
        <f t="shared" si="41"/>
        <v>29.236017822135075</v>
      </c>
      <c r="BX10" s="14">
        <f t="shared" si="42"/>
        <v>19.331986455177315</v>
      </c>
      <c r="BY10" s="14">
        <f t="shared" si="43"/>
        <v>18.262658349670275</v>
      </c>
      <c r="BZ10" s="14">
        <f t="shared" si="44"/>
        <v>7.8799786134378778</v>
      </c>
      <c r="CA10" s="14">
        <f t="shared" si="45"/>
        <v>11.622626982712511</v>
      </c>
      <c r="CB10" s="14">
        <f t="shared" si="46"/>
        <v>17.503931563001231</v>
      </c>
      <c r="CC10" s="15">
        <f t="shared" si="47"/>
        <v>26.147667082516474</v>
      </c>
    </row>
    <row r="11" spans="2:81" ht="15" thickBot="1" x14ac:dyDescent="0.35">
      <c r="B11" s="3">
        <v>0.47916666666666669</v>
      </c>
      <c r="C11" s="14">
        <v>89.833333333333329</v>
      </c>
      <c r="D11" s="14">
        <v>69</v>
      </c>
      <c r="E11" s="14">
        <v>75.833333333333329</v>
      </c>
      <c r="F11" s="14">
        <v>90</v>
      </c>
      <c r="G11" s="14">
        <v>77.833333333333329</v>
      </c>
      <c r="H11" s="14">
        <v>56.833333333333336</v>
      </c>
      <c r="I11" s="15">
        <v>43.666666666666664</v>
      </c>
      <c r="K11" s="3">
        <v>0.47916666666666669</v>
      </c>
      <c r="L11" s="17">
        <v>4.4969130652427851E-2</v>
      </c>
      <c r="M11" s="17">
        <v>3.78843338213763E-2</v>
      </c>
      <c r="N11" s="17">
        <v>4.2337396482739389E-2</v>
      </c>
      <c r="O11" s="17">
        <v>4.9600440892807955E-2</v>
      </c>
      <c r="P11" s="17">
        <v>4.8504362276692997E-2</v>
      </c>
      <c r="Q11" s="17">
        <v>4.7987616099071206E-2</v>
      </c>
      <c r="R11" s="18">
        <v>4.3305785123966961E-2</v>
      </c>
      <c r="T11" s="3">
        <v>0.47916666666666669</v>
      </c>
      <c r="U11" s="14">
        <f t="shared" si="6"/>
        <v>48.030654072357891</v>
      </c>
      <c r="V11" s="14">
        <f t="shared" si="7"/>
        <v>36.891819639992889</v>
      </c>
      <c r="W11" s="14">
        <f t="shared" si="8"/>
        <v>40.54535733380861</v>
      </c>
      <c r="X11" s="14">
        <f t="shared" si="9"/>
        <v>48.119764747816809</v>
      </c>
      <c r="Y11" s="14">
        <f t="shared" si="10"/>
        <v>41.61468543931565</v>
      </c>
      <c r="Z11" s="14">
        <f t="shared" si="11"/>
        <v>30.386740331491733</v>
      </c>
      <c r="AA11" s="15">
        <f t="shared" si="12"/>
        <v>23.346996970237047</v>
      </c>
      <c r="AC11" s="3">
        <v>0.47916666666666669</v>
      </c>
      <c r="AD11" s="14">
        <f t="shared" si="13"/>
        <v>10.006386265074561</v>
      </c>
      <c r="AE11" s="14">
        <f t="shared" si="14"/>
        <v>7.6857957583318512</v>
      </c>
      <c r="AF11" s="14">
        <f t="shared" si="15"/>
        <v>8.4469494445434616</v>
      </c>
      <c r="AG11" s="14">
        <f t="shared" si="16"/>
        <v>10.024950989128502</v>
      </c>
      <c r="AH11" s="14">
        <f t="shared" si="17"/>
        <v>8.6697261331907605</v>
      </c>
      <c r="AI11" s="14">
        <f t="shared" si="18"/>
        <v>6.3305709023941112</v>
      </c>
      <c r="AJ11" s="15">
        <f t="shared" si="19"/>
        <v>4.8639577021327183</v>
      </c>
      <c r="AL11" s="3">
        <v>0.47916666666666669</v>
      </c>
      <c r="AM11" s="22">
        <f>Roster!G$55+Roster!G$56</f>
        <v>24</v>
      </c>
      <c r="AN11" s="22">
        <f>Roster!H$55+Roster!H$56</f>
        <v>19</v>
      </c>
      <c r="AO11" s="22">
        <f>Roster!I$55+Roster!I$56</f>
        <v>19</v>
      </c>
      <c r="AP11" s="22">
        <f>Roster!J$55+Roster!J$56</f>
        <v>15</v>
      </c>
      <c r="AQ11" s="22">
        <f>Roster!K$55+Roster!K$56</f>
        <v>15</v>
      </c>
      <c r="AR11" s="22">
        <f>Roster!L$55+Roster!L$56</f>
        <v>15</v>
      </c>
      <c r="AS11" s="48">
        <f>Roster!M$55+Roster!M$56</f>
        <v>15</v>
      </c>
      <c r="AU11" s="3">
        <v>0.47916666666666669</v>
      </c>
      <c r="AV11" s="14">
        <f t="shared" si="20"/>
        <v>16.32</v>
      </c>
      <c r="AW11" s="14">
        <f t="shared" si="21"/>
        <v>12.919999999999998</v>
      </c>
      <c r="AX11" s="14">
        <f t="shared" si="22"/>
        <v>12.919999999999998</v>
      </c>
      <c r="AY11" s="14">
        <f t="shared" si="23"/>
        <v>10.199999999999999</v>
      </c>
      <c r="AZ11" s="14">
        <f t="shared" si="24"/>
        <v>10.199999999999999</v>
      </c>
      <c r="BA11" s="14">
        <f t="shared" si="25"/>
        <v>10.199999999999999</v>
      </c>
      <c r="BB11" s="15">
        <f t="shared" si="26"/>
        <v>10.199999999999999</v>
      </c>
      <c r="BD11" s="3">
        <v>0.47916666666666669</v>
      </c>
      <c r="BE11" s="14">
        <f t="shared" si="27"/>
        <v>78.336000000000013</v>
      </c>
      <c r="BF11" s="14">
        <f t="shared" si="28"/>
        <v>62.015999999999998</v>
      </c>
      <c r="BG11" s="14">
        <f t="shared" si="29"/>
        <v>62.015999999999998</v>
      </c>
      <c r="BH11" s="14">
        <f t="shared" si="30"/>
        <v>48.96</v>
      </c>
      <c r="BI11" s="14">
        <f t="shared" si="31"/>
        <v>48.96</v>
      </c>
      <c r="BJ11" s="14">
        <f t="shared" si="32"/>
        <v>48.96</v>
      </c>
      <c r="BK11" s="15">
        <f t="shared" si="33"/>
        <v>48.96</v>
      </c>
      <c r="BM11" s="3">
        <v>0.47916666666666669</v>
      </c>
      <c r="BN11" s="14">
        <f t="shared" si="34"/>
        <v>6.3136137349254398</v>
      </c>
      <c r="BO11" s="14">
        <f t="shared" si="35"/>
        <v>5.2342042416681469</v>
      </c>
      <c r="BP11" s="14">
        <f t="shared" si="36"/>
        <v>4.4730505554565365</v>
      </c>
      <c r="BQ11" s="14">
        <f t="shared" si="37"/>
        <v>0.17504901087149705</v>
      </c>
      <c r="BR11" s="14">
        <f t="shared" si="38"/>
        <v>1.5302738668092388</v>
      </c>
      <c r="BS11" s="14">
        <f t="shared" si="39"/>
        <v>3.869429097605888</v>
      </c>
      <c r="BT11" s="15">
        <f t="shared" si="40"/>
        <v>5.336042297867281</v>
      </c>
      <c r="BV11" s="3">
        <v>0.47916666666666669</v>
      </c>
      <c r="BW11" s="14">
        <f t="shared" si="41"/>
        <v>30.305345927642122</v>
      </c>
      <c r="BX11" s="14">
        <f t="shared" si="42"/>
        <v>25.124180360007109</v>
      </c>
      <c r="BY11" s="14">
        <f t="shared" si="43"/>
        <v>21.470642666191388</v>
      </c>
      <c r="BZ11" s="14">
        <f t="shared" si="44"/>
        <v>0.84023525218319151</v>
      </c>
      <c r="CA11" s="14">
        <f t="shared" si="45"/>
        <v>7.3453145606843506</v>
      </c>
      <c r="CB11" s="14">
        <f t="shared" si="46"/>
        <v>18.573259668508268</v>
      </c>
      <c r="CC11" s="15">
        <f t="shared" si="47"/>
        <v>25.613003029762954</v>
      </c>
    </row>
    <row r="12" spans="2:81" ht="15" thickBot="1" x14ac:dyDescent="0.35">
      <c r="B12" s="3">
        <v>0.5</v>
      </c>
      <c r="C12" s="14">
        <v>86.833333333333329</v>
      </c>
      <c r="D12" s="14">
        <v>75</v>
      </c>
      <c r="E12" s="14">
        <v>67</v>
      </c>
      <c r="F12" s="14">
        <v>74.833333333333329</v>
      </c>
      <c r="G12" s="14">
        <v>72.833333333333329</v>
      </c>
      <c r="H12" s="14">
        <v>53.833333333333336</v>
      </c>
      <c r="I12" s="15">
        <v>45.666666666666664</v>
      </c>
      <c r="K12" s="3">
        <v>0.5</v>
      </c>
      <c r="L12" s="17">
        <v>4.3467378608376461E-2</v>
      </c>
      <c r="M12" s="17">
        <v>4.1178623718887281E-2</v>
      </c>
      <c r="N12" s="17">
        <v>3.7405787661673046E-2</v>
      </c>
      <c r="O12" s="17">
        <v>4.1241848075686614E-2</v>
      </c>
      <c r="P12" s="17">
        <v>4.5388450353136697E-2</v>
      </c>
      <c r="Q12" s="17">
        <v>4.5454545454545449E-2</v>
      </c>
      <c r="R12" s="18">
        <v>4.528925619834713E-2</v>
      </c>
      <c r="T12" s="3">
        <v>0.5</v>
      </c>
      <c r="U12" s="14">
        <f t="shared" si="6"/>
        <v>46.42666191409733</v>
      </c>
      <c r="V12" s="14">
        <f t="shared" si="7"/>
        <v>40.099803956514009</v>
      </c>
      <c r="W12" s="14">
        <f t="shared" si="8"/>
        <v>35.822491534485849</v>
      </c>
      <c r="X12" s="14">
        <f t="shared" si="9"/>
        <v>40.01069328105509</v>
      </c>
      <c r="Y12" s="14">
        <f t="shared" si="10"/>
        <v>38.941365175548043</v>
      </c>
      <c r="Z12" s="14">
        <f t="shared" si="11"/>
        <v>28.78274817323117</v>
      </c>
      <c r="AA12" s="15">
        <f t="shared" si="12"/>
        <v>24.416325075744091</v>
      </c>
      <c r="AC12" s="3">
        <v>0.5</v>
      </c>
      <c r="AD12" s="14">
        <f t="shared" si="13"/>
        <v>9.6722212321036114</v>
      </c>
      <c r="AE12" s="14">
        <f t="shared" si="14"/>
        <v>8.3541258242737513</v>
      </c>
      <c r="AF12" s="14">
        <f t="shared" si="15"/>
        <v>7.4630190696845515</v>
      </c>
      <c r="AG12" s="14">
        <f t="shared" si="16"/>
        <v>8.3355611002198096</v>
      </c>
      <c r="AH12" s="14">
        <f t="shared" si="17"/>
        <v>8.112784411572509</v>
      </c>
      <c r="AI12" s="14">
        <f t="shared" si="18"/>
        <v>5.9964058694231603</v>
      </c>
      <c r="AJ12" s="15">
        <f t="shared" si="19"/>
        <v>5.0867343907800189</v>
      </c>
      <c r="AL12" s="3">
        <v>0.5</v>
      </c>
      <c r="AM12" s="22">
        <f>Roster!G$55+Roster!G$56</f>
        <v>24</v>
      </c>
      <c r="AN12" s="22">
        <f>Roster!H$55+Roster!H$56</f>
        <v>19</v>
      </c>
      <c r="AO12" s="22">
        <f>Roster!I$55+Roster!I$56</f>
        <v>19</v>
      </c>
      <c r="AP12" s="22">
        <f>Roster!J$55+Roster!J$56</f>
        <v>15</v>
      </c>
      <c r="AQ12" s="22">
        <f>Roster!K$55+Roster!K$56</f>
        <v>15</v>
      </c>
      <c r="AR12" s="22">
        <f>Roster!L$55+Roster!L$56</f>
        <v>15</v>
      </c>
      <c r="AS12" s="48">
        <f>Roster!M$55+Roster!M$56</f>
        <v>15</v>
      </c>
      <c r="AU12" s="3">
        <v>0.5</v>
      </c>
      <c r="AV12" s="14">
        <f t="shared" si="20"/>
        <v>16.32</v>
      </c>
      <c r="AW12" s="14">
        <f t="shared" si="21"/>
        <v>12.919999999999998</v>
      </c>
      <c r="AX12" s="14">
        <f t="shared" si="22"/>
        <v>12.919999999999998</v>
      </c>
      <c r="AY12" s="14">
        <f t="shared" si="23"/>
        <v>10.199999999999999</v>
      </c>
      <c r="AZ12" s="14">
        <f t="shared" si="24"/>
        <v>10.199999999999999</v>
      </c>
      <c r="BA12" s="14">
        <f t="shared" si="25"/>
        <v>10.199999999999999</v>
      </c>
      <c r="BB12" s="15">
        <f t="shared" si="26"/>
        <v>10.199999999999999</v>
      </c>
      <c r="BD12" s="3">
        <v>0.5</v>
      </c>
      <c r="BE12" s="14">
        <f t="shared" si="27"/>
        <v>78.336000000000013</v>
      </c>
      <c r="BF12" s="14">
        <f t="shared" si="28"/>
        <v>62.015999999999998</v>
      </c>
      <c r="BG12" s="14">
        <f t="shared" si="29"/>
        <v>62.015999999999998</v>
      </c>
      <c r="BH12" s="14">
        <f t="shared" si="30"/>
        <v>48.96</v>
      </c>
      <c r="BI12" s="14">
        <f t="shared" si="31"/>
        <v>48.96</v>
      </c>
      <c r="BJ12" s="14">
        <f t="shared" si="32"/>
        <v>48.96</v>
      </c>
      <c r="BK12" s="15">
        <f t="shared" si="33"/>
        <v>48.96</v>
      </c>
      <c r="BM12" s="3">
        <v>0.5</v>
      </c>
      <c r="BN12" s="14">
        <f t="shared" si="34"/>
        <v>6.6477787678963889</v>
      </c>
      <c r="BO12" s="14">
        <f t="shared" si="35"/>
        <v>4.5658741757262469</v>
      </c>
      <c r="BP12" s="14">
        <f t="shared" si="36"/>
        <v>5.4569809303154466</v>
      </c>
      <c r="BQ12" s="14">
        <f t="shared" si="37"/>
        <v>1.8644388997801897</v>
      </c>
      <c r="BR12" s="14">
        <f t="shared" si="38"/>
        <v>2.0872155884274903</v>
      </c>
      <c r="BS12" s="14">
        <f t="shared" si="39"/>
        <v>4.2035941305768389</v>
      </c>
      <c r="BT12" s="15">
        <f t="shared" si="40"/>
        <v>5.1132656092199804</v>
      </c>
      <c r="BV12" s="3">
        <v>0.5</v>
      </c>
      <c r="BW12" s="14">
        <f t="shared" si="41"/>
        <v>31.909338085902682</v>
      </c>
      <c r="BX12" s="14">
        <f t="shared" si="42"/>
        <v>21.916196043485989</v>
      </c>
      <c r="BY12" s="14">
        <f t="shared" si="43"/>
        <v>26.193508465514149</v>
      </c>
      <c r="BZ12" s="14">
        <f t="shared" si="44"/>
        <v>8.9493067189449107</v>
      </c>
      <c r="CA12" s="14">
        <f t="shared" si="45"/>
        <v>10.018634824451958</v>
      </c>
      <c r="CB12" s="14">
        <f t="shared" si="46"/>
        <v>20.177251826768831</v>
      </c>
      <c r="CC12" s="15">
        <f t="shared" si="47"/>
        <v>24.54367492425591</v>
      </c>
    </row>
    <row r="13" spans="2:81" ht="15" thickBot="1" x14ac:dyDescent="0.35">
      <c r="B13" s="3">
        <v>0.52083333333333337</v>
      </c>
      <c r="C13" s="14">
        <v>78.833333333333329</v>
      </c>
      <c r="D13" s="14">
        <v>74.833333333333329</v>
      </c>
      <c r="E13" s="14">
        <v>64.833333333333329</v>
      </c>
      <c r="F13" s="14">
        <v>73.833333333333329</v>
      </c>
      <c r="G13" s="14">
        <v>63.833333333333336</v>
      </c>
      <c r="H13" s="14">
        <v>58.833333333333336</v>
      </c>
      <c r="I13" s="15">
        <v>37.666666666666664</v>
      </c>
      <c r="K13" s="3">
        <v>0.52083333333333337</v>
      </c>
      <c r="L13" s="17">
        <v>3.9462706490906073E-2</v>
      </c>
      <c r="M13" s="17">
        <v>4.108711566617864E-2</v>
      </c>
      <c r="N13" s="17">
        <v>3.6196147762166203E-2</v>
      </c>
      <c r="O13" s="17">
        <v>4.0690732065766524E-2</v>
      </c>
      <c r="P13" s="17">
        <v>3.9779808890735374E-2</v>
      </c>
      <c r="Q13" s="17">
        <v>4.9676329862088371E-2</v>
      </c>
      <c r="R13" s="18">
        <v>3.735537190082646E-2</v>
      </c>
      <c r="T13" s="3">
        <v>0.52083333333333337</v>
      </c>
      <c r="U13" s="14">
        <f t="shared" si="6"/>
        <v>42.149349492069163</v>
      </c>
      <c r="V13" s="14">
        <f t="shared" si="7"/>
        <v>40.01069328105509</v>
      </c>
      <c r="W13" s="14">
        <f t="shared" si="8"/>
        <v>34.66405275351989</v>
      </c>
      <c r="X13" s="14">
        <f t="shared" si="9"/>
        <v>39.47602922830157</v>
      </c>
      <c r="Y13" s="14">
        <f t="shared" si="10"/>
        <v>34.12938870076637</v>
      </c>
      <c r="Z13" s="14">
        <f t="shared" si="11"/>
        <v>31.45606843699877</v>
      </c>
      <c r="AA13" s="15">
        <f t="shared" si="12"/>
        <v>20.139012653715923</v>
      </c>
      <c r="AC13" s="3">
        <v>0.52083333333333337</v>
      </c>
      <c r="AD13" s="14">
        <f t="shared" si="13"/>
        <v>8.781114477514409</v>
      </c>
      <c r="AE13" s="14">
        <f t="shared" si="14"/>
        <v>8.3355611002198096</v>
      </c>
      <c r="AF13" s="14">
        <f t="shared" si="15"/>
        <v>7.2216776569833101</v>
      </c>
      <c r="AG13" s="14">
        <f t="shared" si="16"/>
        <v>8.224172755896161</v>
      </c>
      <c r="AH13" s="14">
        <f t="shared" si="17"/>
        <v>7.1102893126596607</v>
      </c>
      <c r="AI13" s="14">
        <f t="shared" si="18"/>
        <v>6.5533475910414101</v>
      </c>
      <c r="AJ13" s="15">
        <f t="shared" si="19"/>
        <v>4.1956276361908174</v>
      </c>
      <c r="AL13" s="3">
        <v>0.52083333333333337</v>
      </c>
      <c r="AM13" s="22">
        <f>Roster!G$55+Roster!G$56</f>
        <v>24</v>
      </c>
      <c r="AN13" s="22">
        <f>Roster!H$55+Roster!H$56</f>
        <v>19</v>
      </c>
      <c r="AO13" s="22">
        <f>Roster!I$55+Roster!I$56</f>
        <v>19</v>
      </c>
      <c r="AP13" s="22">
        <f>Roster!J$55+Roster!J$56</f>
        <v>15</v>
      </c>
      <c r="AQ13" s="22">
        <f>Roster!K$55+Roster!K$56</f>
        <v>15</v>
      </c>
      <c r="AR13" s="22">
        <f>Roster!L$55+Roster!L$56</f>
        <v>15</v>
      </c>
      <c r="AS13" s="48">
        <f>Roster!M$55+Roster!M$56</f>
        <v>15</v>
      </c>
      <c r="AU13" s="3">
        <v>0.52083333333333337</v>
      </c>
      <c r="AV13" s="14">
        <f t="shared" si="20"/>
        <v>16.32</v>
      </c>
      <c r="AW13" s="14">
        <f t="shared" si="21"/>
        <v>12.919999999999998</v>
      </c>
      <c r="AX13" s="14">
        <f t="shared" si="22"/>
        <v>12.919999999999998</v>
      </c>
      <c r="AY13" s="14">
        <f t="shared" si="23"/>
        <v>10.199999999999999</v>
      </c>
      <c r="AZ13" s="14">
        <f t="shared" si="24"/>
        <v>10.199999999999999</v>
      </c>
      <c r="BA13" s="14">
        <f t="shared" si="25"/>
        <v>10.199999999999999</v>
      </c>
      <c r="BB13" s="15">
        <f t="shared" si="26"/>
        <v>10.199999999999999</v>
      </c>
      <c r="BD13" s="3">
        <v>0.52083333333333337</v>
      </c>
      <c r="BE13" s="14">
        <f t="shared" si="27"/>
        <v>78.336000000000013</v>
      </c>
      <c r="BF13" s="14">
        <f t="shared" si="28"/>
        <v>62.015999999999998</v>
      </c>
      <c r="BG13" s="14">
        <f t="shared" si="29"/>
        <v>62.015999999999998</v>
      </c>
      <c r="BH13" s="14">
        <f t="shared" si="30"/>
        <v>48.96</v>
      </c>
      <c r="BI13" s="14">
        <f t="shared" si="31"/>
        <v>48.96</v>
      </c>
      <c r="BJ13" s="14">
        <f t="shared" si="32"/>
        <v>48.96</v>
      </c>
      <c r="BK13" s="15">
        <f t="shared" si="33"/>
        <v>48.96</v>
      </c>
      <c r="BM13" s="3">
        <v>0.52083333333333337</v>
      </c>
      <c r="BN13" s="14">
        <f t="shared" si="34"/>
        <v>7.5388855224855913</v>
      </c>
      <c r="BO13" s="14">
        <f t="shared" si="35"/>
        <v>4.5844388997801886</v>
      </c>
      <c r="BP13" s="14">
        <f t="shared" si="36"/>
        <v>5.6983223430166881</v>
      </c>
      <c r="BQ13" s="14">
        <f t="shared" si="37"/>
        <v>1.9758272441038383</v>
      </c>
      <c r="BR13" s="14">
        <f t="shared" si="38"/>
        <v>3.0897106873403386</v>
      </c>
      <c r="BS13" s="14">
        <f t="shared" si="39"/>
        <v>3.6466524089585892</v>
      </c>
      <c r="BT13" s="15">
        <f t="shared" si="40"/>
        <v>6.0043723638091819</v>
      </c>
      <c r="BV13" s="3">
        <v>0.52083333333333337</v>
      </c>
      <c r="BW13" s="14">
        <f t="shared" si="41"/>
        <v>36.18665050793085</v>
      </c>
      <c r="BX13" s="14">
        <f t="shared" si="42"/>
        <v>22.005306718944908</v>
      </c>
      <c r="BY13" s="14">
        <f t="shared" si="43"/>
        <v>27.351947246480108</v>
      </c>
      <c r="BZ13" s="14">
        <f t="shared" si="44"/>
        <v>9.4839707716984307</v>
      </c>
      <c r="CA13" s="14">
        <f t="shared" si="45"/>
        <v>14.830611299233631</v>
      </c>
      <c r="CB13" s="14">
        <f t="shared" si="46"/>
        <v>17.503931563001231</v>
      </c>
      <c r="CC13" s="15">
        <f t="shared" si="47"/>
        <v>28.820987346284078</v>
      </c>
    </row>
    <row r="14" spans="2:81" ht="15" thickBot="1" x14ac:dyDescent="0.35">
      <c r="B14" s="3">
        <v>0.54166666666666663</v>
      </c>
      <c r="C14" s="14">
        <v>82.833333333333329</v>
      </c>
      <c r="D14" s="14">
        <v>81.833333333333329</v>
      </c>
      <c r="E14" s="14">
        <v>70</v>
      </c>
      <c r="F14" s="14">
        <v>82.833333333333329</v>
      </c>
      <c r="G14" s="14">
        <v>64.833333333333329</v>
      </c>
      <c r="H14" s="14">
        <v>50.833333333333336</v>
      </c>
      <c r="I14" s="15">
        <v>44.666666666666664</v>
      </c>
      <c r="K14" s="3">
        <v>0.54166666666666663</v>
      </c>
      <c r="L14" s="17">
        <v>4.1465042549641271E-2</v>
      </c>
      <c r="M14" s="17">
        <v>4.4930453879941448E-2</v>
      </c>
      <c r="N14" s="17">
        <v>3.9080673676374821E-2</v>
      </c>
      <c r="O14" s="17">
        <v>4.5650776155047319E-2</v>
      </c>
      <c r="P14" s="17">
        <v>4.0402991275446623E-2</v>
      </c>
      <c r="Q14" s="17">
        <v>4.2921474810019698E-2</v>
      </c>
      <c r="R14" s="18">
        <v>4.4297520661157046E-2</v>
      </c>
      <c r="T14" s="3">
        <v>0.54166666666666663</v>
      </c>
      <c r="U14" s="14">
        <f t="shared" si="6"/>
        <v>44.28800570308325</v>
      </c>
      <c r="V14" s="14">
        <f t="shared" si="7"/>
        <v>43.753341650329723</v>
      </c>
      <c r="W14" s="14">
        <f t="shared" si="8"/>
        <v>37.426483692746409</v>
      </c>
      <c r="X14" s="14">
        <f t="shared" si="9"/>
        <v>44.28800570308325</v>
      </c>
      <c r="Y14" s="14">
        <f t="shared" si="10"/>
        <v>34.664052753519883</v>
      </c>
      <c r="Z14" s="14">
        <f t="shared" si="11"/>
        <v>27.17875601497061</v>
      </c>
      <c r="AA14" s="15">
        <f t="shared" si="12"/>
        <v>23.881661022990567</v>
      </c>
      <c r="AC14" s="3">
        <v>0.54166666666666663</v>
      </c>
      <c r="AD14" s="14">
        <f t="shared" si="13"/>
        <v>9.2266678548090102</v>
      </c>
      <c r="AE14" s="14">
        <f t="shared" si="14"/>
        <v>9.1152795104853599</v>
      </c>
      <c r="AF14" s="14">
        <f t="shared" si="15"/>
        <v>7.7971841026555024</v>
      </c>
      <c r="AG14" s="14">
        <f t="shared" si="16"/>
        <v>9.2266678548090102</v>
      </c>
      <c r="AH14" s="14">
        <f t="shared" si="17"/>
        <v>7.2216776569833083</v>
      </c>
      <c r="AI14" s="14">
        <f t="shared" si="18"/>
        <v>5.6622408364522103</v>
      </c>
      <c r="AJ14" s="15">
        <f t="shared" si="19"/>
        <v>4.9753460464563686</v>
      </c>
      <c r="AL14" s="3">
        <v>0.54166666666666663</v>
      </c>
      <c r="AM14" s="22">
        <f>Roster!G$55+Roster!G$56+Roster!G$59</f>
        <v>32</v>
      </c>
      <c r="AN14" s="22">
        <f>Roster!H$55+Roster!H$56+Roster!H$59</f>
        <v>27</v>
      </c>
      <c r="AO14" s="22">
        <f>Roster!I$55+Roster!I$56+Roster!I$59</f>
        <v>27</v>
      </c>
      <c r="AP14" s="22">
        <f>Roster!J$55+Roster!J$56+Roster!J$59</f>
        <v>20</v>
      </c>
      <c r="AQ14" s="22">
        <f>Roster!K$55+Roster!K$56+Roster!K$59</f>
        <v>20</v>
      </c>
      <c r="AR14" s="22">
        <f>Roster!L$55+Roster!L$56+Roster!L$59</f>
        <v>18</v>
      </c>
      <c r="AS14" s="48">
        <f>Roster!M$55+Roster!M$56+Roster!M$59</f>
        <v>18</v>
      </c>
      <c r="AU14" s="3">
        <v>0.54166666666666663</v>
      </c>
      <c r="AV14" s="14">
        <f t="shared" si="20"/>
        <v>21.759999999999998</v>
      </c>
      <c r="AW14" s="14">
        <f t="shared" si="21"/>
        <v>18.36</v>
      </c>
      <c r="AX14" s="14">
        <f t="shared" si="22"/>
        <v>18.36</v>
      </c>
      <c r="AY14" s="14">
        <f t="shared" si="23"/>
        <v>13.599999999999998</v>
      </c>
      <c r="AZ14" s="14">
        <f t="shared" si="24"/>
        <v>13.599999999999998</v>
      </c>
      <c r="BA14" s="14">
        <f t="shared" si="25"/>
        <v>12.239999999999998</v>
      </c>
      <c r="BB14" s="15">
        <f t="shared" si="26"/>
        <v>12.239999999999998</v>
      </c>
      <c r="BD14" s="3">
        <v>0.54166666666666663</v>
      </c>
      <c r="BE14" s="14">
        <f t="shared" si="27"/>
        <v>104.44800000000001</v>
      </c>
      <c r="BF14" s="14">
        <f t="shared" si="28"/>
        <v>88.128</v>
      </c>
      <c r="BG14" s="14">
        <f t="shared" si="29"/>
        <v>88.128</v>
      </c>
      <c r="BH14" s="14">
        <f t="shared" si="30"/>
        <v>65.279999999999987</v>
      </c>
      <c r="BI14" s="14">
        <f t="shared" si="31"/>
        <v>65.279999999999987</v>
      </c>
      <c r="BJ14" s="14">
        <f t="shared" si="32"/>
        <v>58.751999999999995</v>
      </c>
      <c r="BK14" s="15">
        <f t="shared" si="33"/>
        <v>58.751999999999995</v>
      </c>
      <c r="BM14" s="3">
        <v>0.54166666666666663</v>
      </c>
      <c r="BN14" s="14">
        <f t="shared" si="34"/>
        <v>12.533332145190988</v>
      </c>
      <c r="BO14" s="14">
        <f t="shared" si="35"/>
        <v>9.2447204895146395</v>
      </c>
      <c r="BP14" s="14">
        <f t="shared" si="36"/>
        <v>10.562815897344496</v>
      </c>
      <c r="BQ14" s="14">
        <f t="shared" si="37"/>
        <v>4.3733321451909877</v>
      </c>
      <c r="BR14" s="14">
        <f t="shared" si="38"/>
        <v>6.3783223430166895</v>
      </c>
      <c r="BS14" s="14">
        <f t="shared" si="39"/>
        <v>6.5777591635477881</v>
      </c>
      <c r="BT14" s="15">
        <f t="shared" si="40"/>
        <v>7.2646539535436299</v>
      </c>
      <c r="BV14" s="3">
        <v>0.54166666666666663</v>
      </c>
      <c r="BW14" s="14">
        <f t="shared" si="41"/>
        <v>60.159994296916757</v>
      </c>
      <c r="BX14" s="14">
        <f t="shared" si="42"/>
        <v>44.374658349670277</v>
      </c>
      <c r="BY14" s="14">
        <f t="shared" si="43"/>
        <v>50.701516307253591</v>
      </c>
      <c r="BZ14" s="14">
        <f t="shared" si="44"/>
        <v>20.991994296916737</v>
      </c>
      <c r="CA14" s="14">
        <f t="shared" si="45"/>
        <v>30.615947246480104</v>
      </c>
      <c r="CB14" s="14">
        <f t="shared" si="46"/>
        <v>31.573243985029386</v>
      </c>
      <c r="CC14" s="15">
        <f t="shared" si="47"/>
        <v>34.870338977009425</v>
      </c>
    </row>
    <row r="15" spans="2:81" ht="15" thickBot="1" x14ac:dyDescent="0.35">
      <c r="B15" s="3">
        <v>0.5625</v>
      </c>
      <c r="C15" s="14">
        <v>83.833333333333329</v>
      </c>
      <c r="D15" s="14">
        <v>82.833333333333329</v>
      </c>
      <c r="E15" s="14">
        <v>77.833333333333329</v>
      </c>
      <c r="F15" s="14">
        <v>71</v>
      </c>
      <c r="G15" s="14">
        <v>71.833333333333329</v>
      </c>
      <c r="H15" s="14">
        <v>44.833333333333336</v>
      </c>
      <c r="I15" s="15">
        <v>41.666666666666664</v>
      </c>
      <c r="K15" s="3">
        <v>0.5625</v>
      </c>
      <c r="L15" s="17">
        <v>4.1965626564325065E-2</v>
      </c>
      <c r="M15" s="17">
        <v>4.5479502196193282E-2</v>
      </c>
      <c r="N15" s="17">
        <v>4.3453987159207237E-2</v>
      </c>
      <c r="O15" s="17">
        <v>3.9129236704326276E-2</v>
      </c>
      <c r="P15" s="17">
        <v>4.4765267968425441E-2</v>
      </c>
      <c r="Q15" s="17">
        <v>3.785533352096819E-2</v>
      </c>
      <c r="R15" s="18">
        <v>4.1322314049586799E-2</v>
      </c>
      <c r="T15" s="3">
        <v>0.5625</v>
      </c>
      <c r="U15" s="14">
        <f t="shared" si="6"/>
        <v>44.82266975583677</v>
      </c>
      <c r="V15" s="14">
        <f t="shared" si="7"/>
        <v>44.28800570308325</v>
      </c>
      <c r="W15" s="14">
        <f t="shared" si="8"/>
        <v>41.614685439315643</v>
      </c>
      <c r="X15" s="14">
        <f t="shared" si="9"/>
        <v>37.961147745499929</v>
      </c>
      <c r="Y15" s="14">
        <f t="shared" si="10"/>
        <v>38.40670112279453</v>
      </c>
      <c r="Z15" s="14">
        <f t="shared" si="11"/>
        <v>23.970771698449486</v>
      </c>
      <c r="AA15" s="15">
        <f t="shared" si="12"/>
        <v>22.277668864730007</v>
      </c>
      <c r="AC15" s="3">
        <v>0.5625</v>
      </c>
      <c r="AD15" s="14">
        <f t="shared" si="13"/>
        <v>9.3380561991326605</v>
      </c>
      <c r="AE15" s="14">
        <f t="shared" si="14"/>
        <v>9.2266678548090102</v>
      </c>
      <c r="AF15" s="14">
        <f t="shared" si="15"/>
        <v>8.6697261331907587</v>
      </c>
      <c r="AG15" s="14">
        <f t="shared" si="16"/>
        <v>7.9085724469791518</v>
      </c>
      <c r="AH15" s="14">
        <f t="shared" si="17"/>
        <v>8.0013960672488604</v>
      </c>
      <c r="AI15" s="14">
        <f t="shared" si="18"/>
        <v>4.9939107705103094</v>
      </c>
      <c r="AJ15" s="15">
        <f t="shared" si="19"/>
        <v>4.6411810134854177</v>
      </c>
      <c r="AL15" s="3">
        <v>0.5625</v>
      </c>
      <c r="AM15" s="22">
        <f>Roster!G$55+Roster!G$56+Roster!G$59</f>
        <v>32</v>
      </c>
      <c r="AN15" s="22">
        <f>Roster!H$55+Roster!H$56+Roster!H$59</f>
        <v>27</v>
      </c>
      <c r="AO15" s="22">
        <f>Roster!I$55+Roster!I$56+Roster!I$59</f>
        <v>27</v>
      </c>
      <c r="AP15" s="22">
        <f>Roster!J$55+Roster!J$56+Roster!J$59</f>
        <v>20</v>
      </c>
      <c r="AQ15" s="22">
        <f>Roster!K$55+Roster!K$56+Roster!K$59</f>
        <v>20</v>
      </c>
      <c r="AR15" s="22">
        <f>Roster!L$55+Roster!L$56+Roster!L$59</f>
        <v>18</v>
      </c>
      <c r="AS15" s="48">
        <f>Roster!M$55+Roster!M$56+Roster!M$59</f>
        <v>18</v>
      </c>
      <c r="AU15" s="3">
        <v>0.5625</v>
      </c>
      <c r="AV15" s="14">
        <f t="shared" si="20"/>
        <v>21.759999999999998</v>
      </c>
      <c r="AW15" s="14">
        <f t="shared" si="21"/>
        <v>18.36</v>
      </c>
      <c r="AX15" s="14">
        <f t="shared" si="22"/>
        <v>18.36</v>
      </c>
      <c r="AY15" s="14">
        <f t="shared" si="23"/>
        <v>13.599999999999998</v>
      </c>
      <c r="AZ15" s="14">
        <f t="shared" si="24"/>
        <v>13.599999999999998</v>
      </c>
      <c r="BA15" s="14">
        <f t="shared" si="25"/>
        <v>12.239999999999998</v>
      </c>
      <c r="BB15" s="15">
        <f t="shared" si="26"/>
        <v>12.239999999999998</v>
      </c>
      <c r="BD15" s="3">
        <v>0.5625</v>
      </c>
      <c r="BE15" s="14">
        <f t="shared" si="27"/>
        <v>104.44800000000001</v>
      </c>
      <c r="BF15" s="14">
        <f t="shared" si="28"/>
        <v>88.128</v>
      </c>
      <c r="BG15" s="14">
        <f t="shared" si="29"/>
        <v>88.128</v>
      </c>
      <c r="BH15" s="14">
        <f t="shared" si="30"/>
        <v>65.279999999999987</v>
      </c>
      <c r="BI15" s="14">
        <f t="shared" si="31"/>
        <v>65.279999999999987</v>
      </c>
      <c r="BJ15" s="14">
        <f t="shared" si="32"/>
        <v>58.751999999999995</v>
      </c>
      <c r="BK15" s="15">
        <f t="shared" si="33"/>
        <v>58.751999999999995</v>
      </c>
      <c r="BM15" s="3">
        <v>0.5625</v>
      </c>
      <c r="BN15" s="14">
        <f t="shared" si="34"/>
        <v>12.421943800867338</v>
      </c>
      <c r="BO15" s="14">
        <f t="shared" si="35"/>
        <v>9.1333321451909892</v>
      </c>
      <c r="BP15" s="14">
        <f t="shared" si="36"/>
        <v>9.6902738668092407</v>
      </c>
      <c r="BQ15" s="14">
        <f t="shared" si="37"/>
        <v>5.691427553020846</v>
      </c>
      <c r="BR15" s="14">
        <f t="shared" si="38"/>
        <v>5.5986039327511374</v>
      </c>
      <c r="BS15" s="14">
        <f t="shared" si="39"/>
        <v>7.246089229489689</v>
      </c>
      <c r="BT15" s="15">
        <f t="shared" si="40"/>
        <v>7.5988189865145808</v>
      </c>
      <c r="BV15" s="3">
        <v>0.5625</v>
      </c>
      <c r="BW15" s="14">
        <f t="shared" si="41"/>
        <v>59.625330244163237</v>
      </c>
      <c r="BX15" s="14">
        <f t="shared" si="42"/>
        <v>43.83999429691675</v>
      </c>
      <c r="BY15" s="14">
        <f t="shared" si="43"/>
        <v>46.513314560684357</v>
      </c>
      <c r="BZ15" s="14">
        <f t="shared" si="44"/>
        <v>27.318852254500058</v>
      </c>
      <c r="CA15" s="14">
        <f t="shared" si="45"/>
        <v>26.873298877205457</v>
      </c>
      <c r="CB15" s="14">
        <f t="shared" si="46"/>
        <v>34.781228301550513</v>
      </c>
      <c r="CC15" s="15">
        <f t="shared" si="47"/>
        <v>36.474331135269992</v>
      </c>
    </row>
    <row r="16" spans="2:81" ht="15" thickBot="1" x14ac:dyDescent="0.35">
      <c r="B16" s="3">
        <v>0.58333333333333337</v>
      </c>
      <c r="C16" s="14">
        <v>88.833333333333329</v>
      </c>
      <c r="D16" s="14">
        <v>76.833333333333329</v>
      </c>
      <c r="E16" s="14">
        <v>83.833333333333329</v>
      </c>
      <c r="F16" s="14">
        <v>77.833333333333329</v>
      </c>
      <c r="G16" s="14">
        <v>71.833333333333329</v>
      </c>
      <c r="H16" s="14">
        <v>41.666666666666664</v>
      </c>
      <c r="I16" s="15">
        <v>41.666666666666664</v>
      </c>
      <c r="K16" s="3">
        <v>0.58333333333333337</v>
      </c>
      <c r="L16" s="17">
        <v>4.4468546637744057E-2</v>
      </c>
      <c r="M16" s="17">
        <v>4.2185212298682301E-2</v>
      </c>
      <c r="N16" s="17">
        <v>4.6803759188610794E-2</v>
      </c>
      <c r="O16" s="17">
        <v>4.2895196105446877E-2</v>
      </c>
      <c r="P16" s="17">
        <v>4.4765267968425441E-2</v>
      </c>
      <c r="Q16" s="17">
        <v>3.5181536729524336E-2</v>
      </c>
      <c r="R16" s="18">
        <v>4.1322314049586799E-2</v>
      </c>
      <c r="T16" s="3">
        <v>0.58333333333333337</v>
      </c>
      <c r="U16" s="14">
        <f t="shared" si="6"/>
        <v>47.495990019604371</v>
      </c>
      <c r="V16" s="14">
        <f t="shared" si="7"/>
        <v>41.08002138656213</v>
      </c>
      <c r="W16" s="14">
        <f t="shared" si="8"/>
        <v>44.822669755836763</v>
      </c>
      <c r="X16" s="14">
        <f t="shared" si="9"/>
        <v>41.61468543931565</v>
      </c>
      <c r="Y16" s="14">
        <f t="shared" si="10"/>
        <v>38.40670112279453</v>
      </c>
      <c r="Z16" s="14">
        <f t="shared" si="11"/>
        <v>22.277668864730003</v>
      </c>
      <c r="AA16" s="15">
        <f t="shared" si="12"/>
        <v>22.277668864730007</v>
      </c>
      <c r="AC16" s="3">
        <v>0.58333333333333337</v>
      </c>
      <c r="AD16" s="14">
        <f t="shared" si="13"/>
        <v>9.8949979207509102</v>
      </c>
      <c r="AE16" s="14">
        <f t="shared" si="14"/>
        <v>8.5583377888671102</v>
      </c>
      <c r="AF16" s="14">
        <f t="shared" si="15"/>
        <v>9.3380561991326587</v>
      </c>
      <c r="AG16" s="14">
        <f t="shared" si="16"/>
        <v>8.6697261331907605</v>
      </c>
      <c r="AH16" s="14">
        <f t="shared" si="17"/>
        <v>8.0013960672488604</v>
      </c>
      <c r="AI16" s="14">
        <f t="shared" si="18"/>
        <v>4.6411810134854177</v>
      </c>
      <c r="AJ16" s="15">
        <f t="shared" si="19"/>
        <v>4.6411810134854177</v>
      </c>
      <c r="AL16" s="3">
        <v>0.58333333333333337</v>
      </c>
      <c r="AM16" s="22">
        <f>Roster!G$55+Roster!G$56+Roster!G$59+Roster!G$60+Roster!G$61</f>
        <v>39</v>
      </c>
      <c r="AN16" s="22">
        <f>Roster!H$55+Roster!H$56+Roster!H$59+Roster!H$60+Roster!H$61</f>
        <v>34</v>
      </c>
      <c r="AO16" s="22">
        <f>Roster!I$55+Roster!I$56+Roster!I$59+Roster!I$60+Roster!I$61</f>
        <v>37</v>
      </c>
      <c r="AP16" s="22">
        <f>Roster!J$55+Roster!J$56+Roster!J$59+Roster!J$60+Roster!J$61</f>
        <v>26</v>
      </c>
      <c r="AQ16" s="22">
        <f>Roster!K$55+Roster!K$56+Roster!K$59+Roster!K$60+Roster!K$61</f>
        <v>26</v>
      </c>
      <c r="AR16" s="22">
        <f>Roster!L$55+Roster!L$56+Roster!L$59+Roster!L$60+Roster!L$61</f>
        <v>27</v>
      </c>
      <c r="AS16" s="48">
        <f>Roster!M$55+Roster!M$56+Roster!M$59+Roster!M$60+Roster!M$61</f>
        <v>27</v>
      </c>
      <c r="AU16" s="3">
        <v>0.58333333333333337</v>
      </c>
      <c r="AV16" s="14">
        <f t="shared" si="20"/>
        <v>26.519999999999996</v>
      </c>
      <c r="AW16" s="14">
        <f t="shared" si="21"/>
        <v>23.119999999999997</v>
      </c>
      <c r="AX16" s="14">
        <f t="shared" si="22"/>
        <v>25.159999999999997</v>
      </c>
      <c r="AY16" s="14">
        <f t="shared" si="23"/>
        <v>17.68</v>
      </c>
      <c r="AZ16" s="14">
        <f t="shared" si="24"/>
        <v>17.68</v>
      </c>
      <c r="BA16" s="14">
        <f t="shared" si="25"/>
        <v>18.36</v>
      </c>
      <c r="BB16" s="15">
        <f t="shared" si="26"/>
        <v>18.36</v>
      </c>
      <c r="BD16" s="3">
        <v>0.58333333333333337</v>
      </c>
      <c r="BE16" s="14">
        <f t="shared" si="27"/>
        <v>127.29599999999999</v>
      </c>
      <c r="BF16" s="14">
        <f t="shared" si="28"/>
        <v>110.97599999999998</v>
      </c>
      <c r="BG16" s="14">
        <f t="shared" si="29"/>
        <v>120.76799999999999</v>
      </c>
      <c r="BH16" s="14">
        <f t="shared" si="30"/>
        <v>84.864000000000004</v>
      </c>
      <c r="BI16" s="14">
        <f t="shared" si="31"/>
        <v>84.864000000000004</v>
      </c>
      <c r="BJ16" s="14">
        <f t="shared" si="32"/>
        <v>88.128</v>
      </c>
      <c r="BK16" s="15">
        <f t="shared" si="33"/>
        <v>88.128</v>
      </c>
      <c r="BM16" s="3">
        <v>0.58333333333333337</v>
      </c>
      <c r="BN16" s="14">
        <f t="shared" si="34"/>
        <v>16.625002079249086</v>
      </c>
      <c r="BO16" s="14">
        <f t="shared" si="35"/>
        <v>14.561662211132887</v>
      </c>
      <c r="BP16" s="14">
        <f t="shared" si="36"/>
        <v>15.821943800867338</v>
      </c>
      <c r="BQ16" s="14">
        <f t="shared" si="37"/>
        <v>9.0102738668092393</v>
      </c>
      <c r="BR16" s="14">
        <f t="shared" si="38"/>
        <v>9.6786039327511393</v>
      </c>
      <c r="BS16" s="14">
        <f t="shared" si="39"/>
        <v>13.718818986514581</v>
      </c>
      <c r="BT16" s="15">
        <f t="shared" si="40"/>
        <v>13.718818986514581</v>
      </c>
      <c r="BV16" s="3">
        <v>0.58333333333333337</v>
      </c>
      <c r="BW16" s="14">
        <f t="shared" si="41"/>
        <v>79.800009980395629</v>
      </c>
      <c r="BX16" s="14">
        <f t="shared" si="42"/>
        <v>69.895978613437848</v>
      </c>
      <c r="BY16" s="14">
        <f t="shared" si="43"/>
        <v>75.945330244163216</v>
      </c>
      <c r="BZ16" s="14">
        <f t="shared" si="44"/>
        <v>43.249314560684354</v>
      </c>
      <c r="CA16" s="14">
        <f t="shared" si="45"/>
        <v>46.457298877205474</v>
      </c>
      <c r="CB16" s="14">
        <f t="shared" si="46"/>
        <v>65.850331135269997</v>
      </c>
      <c r="CC16" s="15">
        <f t="shared" si="47"/>
        <v>65.850331135269997</v>
      </c>
    </row>
    <row r="17" spans="2:81" ht="15" thickBot="1" x14ac:dyDescent="0.35">
      <c r="B17" s="3">
        <v>0.60416666666666663</v>
      </c>
      <c r="C17" s="14">
        <v>102.83333333333333</v>
      </c>
      <c r="D17" s="14">
        <v>81.833333333333329</v>
      </c>
      <c r="E17" s="14">
        <v>86.833333333333329</v>
      </c>
      <c r="F17" s="14">
        <v>79.833333333333329</v>
      </c>
      <c r="G17" s="14">
        <v>71.833333333333329</v>
      </c>
      <c r="H17" s="14">
        <v>51.833333333333336</v>
      </c>
      <c r="I17" s="15">
        <v>47.666666666666664</v>
      </c>
      <c r="K17" s="3">
        <v>0.60416666666666663</v>
      </c>
      <c r="L17" s="17">
        <v>5.1476722843317231E-2</v>
      </c>
      <c r="M17" s="17">
        <v>4.4930453879941448E-2</v>
      </c>
      <c r="N17" s="17">
        <v>4.8478645203312569E-2</v>
      </c>
      <c r="O17" s="17">
        <v>4.3997428125287057E-2</v>
      </c>
      <c r="P17" s="17">
        <v>4.4765267968425441E-2</v>
      </c>
      <c r="Q17" s="17">
        <v>4.3765831691528284E-2</v>
      </c>
      <c r="R17" s="18">
        <v>4.7272727272727293E-2</v>
      </c>
      <c r="T17" s="3">
        <v>0.60416666666666663</v>
      </c>
      <c r="U17" s="14">
        <f t="shared" si="6"/>
        <v>54.981286758153658</v>
      </c>
      <c r="V17" s="14">
        <f t="shared" si="7"/>
        <v>43.753341650329723</v>
      </c>
      <c r="W17" s="14">
        <f t="shared" si="8"/>
        <v>46.426661914097323</v>
      </c>
      <c r="X17" s="14">
        <f t="shared" si="9"/>
        <v>42.68401354482269</v>
      </c>
      <c r="Y17" s="14">
        <f t="shared" si="10"/>
        <v>38.40670112279453</v>
      </c>
      <c r="Z17" s="14">
        <f t="shared" si="11"/>
        <v>27.71342006772413</v>
      </c>
      <c r="AA17" s="15">
        <f t="shared" si="12"/>
        <v>25.485653181251127</v>
      </c>
      <c r="AC17" s="3">
        <v>0.60416666666666663</v>
      </c>
      <c r="AD17" s="14">
        <f t="shared" si="13"/>
        <v>11.454434741282011</v>
      </c>
      <c r="AE17" s="14">
        <f t="shared" si="14"/>
        <v>9.1152795104853599</v>
      </c>
      <c r="AF17" s="14">
        <f t="shared" si="15"/>
        <v>9.6722212321036096</v>
      </c>
      <c r="AG17" s="14">
        <f t="shared" si="16"/>
        <v>8.8925028218380611</v>
      </c>
      <c r="AH17" s="14">
        <f t="shared" si="17"/>
        <v>8.0013960672488604</v>
      </c>
      <c r="AI17" s="14">
        <f t="shared" si="18"/>
        <v>5.7736291807758597</v>
      </c>
      <c r="AJ17" s="15">
        <f t="shared" si="19"/>
        <v>5.3095110794273186</v>
      </c>
      <c r="AL17" s="3">
        <v>0.60416666666666663</v>
      </c>
      <c r="AM17" s="22">
        <f>Roster!G$55+Roster!G$56+Roster!G$59+Roster!G$60+Roster!G$61</f>
        <v>39</v>
      </c>
      <c r="AN17" s="22">
        <f>Roster!H$55+Roster!H$56+Roster!H$59+Roster!H$60+Roster!H$61</f>
        <v>34</v>
      </c>
      <c r="AO17" s="22">
        <f>Roster!I$55+Roster!I$56+Roster!I$59+Roster!I$60+Roster!I$61</f>
        <v>37</v>
      </c>
      <c r="AP17" s="22">
        <f>Roster!J$55+Roster!J$56+Roster!J$59+Roster!J$60+Roster!J$61</f>
        <v>26</v>
      </c>
      <c r="AQ17" s="22">
        <f>Roster!K$55+Roster!K$56+Roster!K$59+Roster!K$60+Roster!K$61</f>
        <v>26</v>
      </c>
      <c r="AR17" s="22">
        <f>Roster!L$55+Roster!L$56+Roster!L$59+Roster!L$60+Roster!L$61</f>
        <v>27</v>
      </c>
      <c r="AS17" s="48">
        <f>Roster!M$55+Roster!M$56+Roster!M$59+Roster!M$60+Roster!M$61</f>
        <v>27</v>
      </c>
      <c r="AU17" s="3">
        <v>0.60416666666666663</v>
      </c>
      <c r="AV17" s="14">
        <f t="shared" si="20"/>
        <v>26.519999999999996</v>
      </c>
      <c r="AW17" s="14">
        <f t="shared" si="21"/>
        <v>23.119999999999997</v>
      </c>
      <c r="AX17" s="14">
        <f t="shared" si="22"/>
        <v>25.159999999999997</v>
      </c>
      <c r="AY17" s="14">
        <f t="shared" si="23"/>
        <v>17.68</v>
      </c>
      <c r="AZ17" s="14">
        <f t="shared" si="24"/>
        <v>17.68</v>
      </c>
      <c r="BA17" s="14">
        <f t="shared" si="25"/>
        <v>18.36</v>
      </c>
      <c r="BB17" s="15">
        <f t="shared" si="26"/>
        <v>18.36</v>
      </c>
      <c r="BD17" s="3">
        <v>0.60416666666666663</v>
      </c>
      <c r="BE17" s="14">
        <f t="shared" si="27"/>
        <v>127.29599999999999</v>
      </c>
      <c r="BF17" s="14">
        <f t="shared" si="28"/>
        <v>110.97599999999998</v>
      </c>
      <c r="BG17" s="14">
        <f t="shared" si="29"/>
        <v>120.76799999999999</v>
      </c>
      <c r="BH17" s="14">
        <f t="shared" si="30"/>
        <v>84.864000000000004</v>
      </c>
      <c r="BI17" s="14">
        <f t="shared" si="31"/>
        <v>84.864000000000004</v>
      </c>
      <c r="BJ17" s="14">
        <f t="shared" si="32"/>
        <v>88.128</v>
      </c>
      <c r="BK17" s="15">
        <f t="shared" si="33"/>
        <v>88.128</v>
      </c>
      <c r="BM17" s="3">
        <v>0.60416666666666663</v>
      </c>
      <c r="BN17" s="14">
        <f t="shared" si="34"/>
        <v>15.065565258717985</v>
      </c>
      <c r="BO17" s="14">
        <f t="shared" si="35"/>
        <v>14.004720489514638</v>
      </c>
      <c r="BP17" s="14">
        <f t="shared" si="36"/>
        <v>15.487778767896387</v>
      </c>
      <c r="BQ17" s="14">
        <f t="shared" si="37"/>
        <v>8.7874971781619386</v>
      </c>
      <c r="BR17" s="14">
        <f t="shared" si="38"/>
        <v>9.6786039327511393</v>
      </c>
      <c r="BS17" s="14">
        <f t="shared" si="39"/>
        <v>12.58637081922414</v>
      </c>
      <c r="BT17" s="15">
        <f t="shared" si="40"/>
        <v>13.050488920572681</v>
      </c>
      <c r="BV17" s="3">
        <v>0.60416666666666663</v>
      </c>
      <c r="BW17" s="14">
        <f t="shared" si="41"/>
        <v>72.314713241846334</v>
      </c>
      <c r="BX17" s="14">
        <f t="shared" si="42"/>
        <v>67.222658349670269</v>
      </c>
      <c r="BY17" s="14">
        <f t="shared" si="43"/>
        <v>74.341338085902663</v>
      </c>
      <c r="BZ17" s="14">
        <f t="shared" si="44"/>
        <v>42.179986455177314</v>
      </c>
      <c r="CA17" s="14">
        <f t="shared" si="45"/>
        <v>46.457298877205474</v>
      </c>
      <c r="CB17" s="14">
        <f t="shared" si="46"/>
        <v>60.414579932275871</v>
      </c>
      <c r="CC17" s="15">
        <f t="shared" si="47"/>
        <v>62.642346818748877</v>
      </c>
    </row>
    <row r="18" spans="2:81" ht="15" thickBot="1" x14ac:dyDescent="0.35">
      <c r="B18" s="3">
        <v>0.625</v>
      </c>
      <c r="C18" s="14">
        <v>85.833333333333329</v>
      </c>
      <c r="D18" s="14">
        <v>83.833333333333329</v>
      </c>
      <c r="E18" s="14">
        <v>83.833333333333329</v>
      </c>
      <c r="F18" s="14">
        <v>80.833333333333329</v>
      </c>
      <c r="G18" s="14">
        <v>66.833333333333329</v>
      </c>
      <c r="H18" s="14">
        <v>52.833333333333336</v>
      </c>
      <c r="I18" s="15">
        <v>40.666666666666664</v>
      </c>
      <c r="K18" s="3">
        <v>0.625</v>
      </c>
      <c r="L18" s="17">
        <v>4.296679459369266E-2</v>
      </c>
      <c r="M18" s="17">
        <v>4.6028550512445109E-2</v>
      </c>
      <c r="N18" s="17">
        <v>4.6803759188610794E-2</v>
      </c>
      <c r="O18" s="17">
        <v>4.454854413520714E-2</v>
      </c>
      <c r="P18" s="17">
        <v>4.1649356044869142E-2</v>
      </c>
      <c r="Q18" s="17">
        <v>4.461018857303687E-2</v>
      </c>
      <c r="R18" s="18">
        <v>4.0330578512396714E-2</v>
      </c>
      <c r="T18" s="3">
        <v>0.625</v>
      </c>
      <c r="U18" s="14">
        <f t="shared" si="6"/>
        <v>45.89199786134381</v>
      </c>
      <c r="V18" s="14">
        <f t="shared" si="7"/>
        <v>44.822669755836763</v>
      </c>
      <c r="W18" s="14">
        <f t="shared" si="8"/>
        <v>44.822669755836763</v>
      </c>
      <c r="X18" s="14">
        <f t="shared" si="9"/>
        <v>43.218677597576203</v>
      </c>
      <c r="Y18" s="14">
        <f t="shared" si="10"/>
        <v>35.733380859026923</v>
      </c>
      <c r="Z18" s="14">
        <f t="shared" si="11"/>
        <v>28.248084120477653</v>
      </c>
      <c r="AA18" s="15">
        <f t="shared" si="12"/>
        <v>21.743004811976487</v>
      </c>
      <c r="AC18" s="3">
        <v>0.625</v>
      </c>
      <c r="AD18" s="14">
        <f t="shared" si="13"/>
        <v>9.5608328877799611</v>
      </c>
      <c r="AE18" s="14">
        <f t="shared" si="14"/>
        <v>9.3380561991326587</v>
      </c>
      <c r="AF18" s="14">
        <f t="shared" si="15"/>
        <v>9.3380561991326587</v>
      </c>
      <c r="AG18" s="14">
        <f t="shared" si="16"/>
        <v>9.0038911661617078</v>
      </c>
      <c r="AH18" s="14">
        <f t="shared" si="17"/>
        <v>7.4444543456306089</v>
      </c>
      <c r="AI18" s="14">
        <f t="shared" si="18"/>
        <v>5.8850175250995109</v>
      </c>
      <c r="AJ18" s="15">
        <f t="shared" si="19"/>
        <v>4.5297926691617683</v>
      </c>
      <c r="AL18" s="3">
        <v>0.625</v>
      </c>
      <c r="AM18" s="22">
        <f>Roster!G$55+Roster!G$56+Roster!G$59+Roster!G$60+Roster!G$61</f>
        <v>39</v>
      </c>
      <c r="AN18" s="22">
        <f>Roster!H$55+Roster!H$56+Roster!H$59+Roster!H$60+Roster!H$61</f>
        <v>34</v>
      </c>
      <c r="AO18" s="22">
        <f>Roster!I$55+Roster!I$56+Roster!I$59+Roster!I$60+Roster!I$61</f>
        <v>37</v>
      </c>
      <c r="AP18" s="22">
        <f>Roster!J$55+Roster!J$56+Roster!J$59+Roster!J$60+Roster!J$61</f>
        <v>26</v>
      </c>
      <c r="AQ18" s="22">
        <f>Roster!K$55+Roster!K$56+Roster!K$59+Roster!K$60+Roster!K$61</f>
        <v>26</v>
      </c>
      <c r="AR18" s="22">
        <f>Roster!L$55+Roster!L$56+Roster!L$59+Roster!L$60+Roster!L$61</f>
        <v>27</v>
      </c>
      <c r="AS18" s="48">
        <f>Roster!M$55+Roster!M$56+Roster!M$59+Roster!M$60+Roster!M$61</f>
        <v>27</v>
      </c>
      <c r="AU18" s="3">
        <v>0.625</v>
      </c>
      <c r="AV18" s="14">
        <f t="shared" si="20"/>
        <v>26.519999999999996</v>
      </c>
      <c r="AW18" s="14">
        <f t="shared" si="21"/>
        <v>23.119999999999997</v>
      </c>
      <c r="AX18" s="14">
        <f t="shared" si="22"/>
        <v>25.159999999999997</v>
      </c>
      <c r="AY18" s="14">
        <f t="shared" si="23"/>
        <v>17.68</v>
      </c>
      <c r="AZ18" s="14">
        <f t="shared" si="24"/>
        <v>17.68</v>
      </c>
      <c r="BA18" s="14">
        <f t="shared" si="25"/>
        <v>18.36</v>
      </c>
      <c r="BB18" s="15">
        <f t="shared" si="26"/>
        <v>18.36</v>
      </c>
      <c r="BD18" s="3">
        <v>0.625</v>
      </c>
      <c r="BE18" s="14">
        <f t="shared" si="27"/>
        <v>127.29599999999999</v>
      </c>
      <c r="BF18" s="14">
        <f t="shared" si="28"/>
        <v>110.97599999999998</v>
      </c>
      <c r="BG18" s="14">
        <f t="shared" si="29"/>
        <v>120.76799999999999</v>
      </c>
      <c r="BH18" s="14">
        <f t="shared" si="30"/>
        <v>84.864000000000004</v>
      </c>
      <c r="BI18" s="14">
        <f t="shared" si="31"/>
        <v>84.864000000000004</v>
      </c>
      <c r="BJ18" s="14">
        <f t="shared" si="32"/>
        <v>88.128</v>
      </c>
      <c r="BK18" s="15">
        <f t="shared" si="33"/>
        <v>88.128</v>
      </c>
      <c r="BM18" s="3">
        <v>0.625</v>
      </c>
      <c r="BN18" s="14">
        <f t="shared" si="34"/>
        <v>16.959167112220037</v>
      </c>
      <c r="BO18" s="14">
        <f t="shared" si="35"/>
        <v>13.781943800867339</v>
      </c>
      <c r="BP18" s="14">
        <f t="shared" si="36"/>
        <v>15.821943800867338</v>
      </c>
      <c r="BQ18" s="14">
        <f t="shared" si="37"/>
        <v>8.6761088338382919</v>
      </c>
      <c r="BR18" s="14">
        <f t="shared" si="38"/>
        <v>10.235545654369391</v>
      </c>
      <c r="BS18" s="14">
        <f t="shared" si="39"/>
        <v>12.474982474900489</v>
      </c>
      <c r="BT18" s="15">
        <f t="shared" si="40"/>
        <v>13.830207330838231</v>
      </c>
      <c r="BV18" s="3">
        <v>0.625</v>
      </c>
      <c r="BW18" s="14">
        <f t="shared" si="41"/>
        <v>81.404002138656182</v>
      </c>
      <c r="BX18" s="14">
        <f t="shared" si="42"/>
        <v>66.153330244163215</v>
      </c>
      <c r="BY18" s="14">
        <f t="shared" si="43"/>
        <v>75.945330244163216</v>
      </c>
      <c r="BZ18" s="14">
        <f t="shared" si="44"/>
        <v>41.645322402423801</v>
      </c>
      <c r="CA18" s="14">
        <f t="shared" si="45"/>
        <v>49.130619140973081</v>
      </c>
      <c r="CB18" s="14">
        <f t="shared" si="46"/>
        <v>59.879915879522343</v>
      </c>
      <c r="CC18" s="15">
        <f t="shared" si="47"/>
        <v>66.38499518802351</v>
      </c>
    </row>
    <row r="19" spans="2:81" ht="15" thickBot="1" x14ac:dyDescent="0.35">
      <c r="B19" s="3">
        <v>0.64583333333333337</v>
      </c>
      <c r="C19" s="14">
        <v>94.833333333333329</v>
      </c>
      <c r="D19" s="14">
        <v>89.833333333333329</v>
      </c>
      <c r="E19" s="14">
        <v>82.833333333333329</v>
      </c>
      <c r="F19" s="14">
        <v>81.833333333333329</v>
      </c>
      <c r="G19" s="14">
        <v>76.833333333333329</v>
      </c>
      <c r="H19" s="14">
        <v>55.833333333333336</v>
      </c>
      <c r="I19" s="15">
        <v>43.666666666666664</v>
      </c>
      <c r="K19" s="3">
        <v>0.64583333333333337</v>
      </c>
      <c r="L19" s="17">
        <v>4.7472050725846843E-2</v>
      </c>
      <c r="M19" s="17">
        <v>4.9322840409956097E-2</v>
      </c>
      <c r="N19" s="17">
        <v>4.6245463850376867E-2</v>
      </c>
      <c r="O19" s="17">
        <v>4.5099660145127229E-2</v>
      </c>
      <c r="P19" s="17">
        <v>4.7881179891981734E-2</v>
      </c>
      <c r="Q19" s="17">
        <v>4.7143259217562621E-2</v>
      </c>
      <c r="R19" s="18">
        <v>4.3305785123966961E-2</v>
      </c>
      <c r="T19" s="3">
        <v>0.64583333333333337</v>
      </c>
      <c r="U19" s="14">
        <f t="shared" si="6"/>
        <v>50.703974336125491</v>
      </c>
      <c r="V19" s="14">
        <f t="shared" si="7"/>
        <v>48.030654072357891</v>
      </c>
      <c r="W19" s="14">
        <f t="shared" si="8"/>
        <v>44.288005703083243</v>
      </c>
      <c r="X19" s="14">
        <f t="shared" si="9"/>
        <v>43.75334165032973</v>
      </c>
      <c r="Y19" s="14">
        <f t="shared" si="10"/>
        <v>41.080021386562123</v>
      </c>
      <c r="Z19" s="14">
        <f t="shared" si="11"/>
        <v>29.85207627873821</v>
      </c>
      <c r="AA19" s="15">
        <f t="shared" si="12"/>
        <v>23.346996970237047</v>
      </c>
      <c r="AC19" s="3">
        <v>0.64583333333333337</v>
      </c>
      <c r="AD19" s="14">
        <f t="shared" si="13"/>
        <v>10.56332798669281</v>
      </c>
      <c r="AE19" s="14">
        <f t="shared" si="14"/>
        <v>10.006386265074561</v>
      </c>
      <c r="AF19" s="14">
        <f t="shared" si="15"/>
        <v>9.2266678548090084</v>
      </c>
      <c r="AG19" s="14">
        <f t="shared" si="16"/>
        <v>9.1152795104853599</v>
      </c>
      <c r="AH19" s="14">
        <f t="shared" si="17"/>
        <v>8.5583377888671084</v>
      </c>
      <c r="AI19" s="14">
        <f t="shared" si="18"/>
        <v>6.2191825580704609</v>
      </c>
      <c r="AJ19" s="15">
        <f t="shared" si="19"/>
        <v>4.8639577021327183</v>
      </c>
      <c r="AL19" s="3">
        <v>0.64583333333333337</v>
      </c>
      <c r="AM19" s="22">
        <f>Roster!G$55+Roster!G$56+Roster!G$59+Roster!G$60+Roster!G$61</f>
        <v>39</v>
      </c>
      <c r="AN19" s="22">
        <f>Roster!H$55+Roster!H$56+Roster!H$59+Roster!H$60+Roster!H$61</f>
        <v>34</v>
      </c>
      <c r="AO19" s="22">
        <f>Roster!I$55+Roster!I$56+Roster!I$59+Roster!I$60+Roster!I$61</f>
        <v>37</v>
      </c>
      <c r="AP19" s="22">
        <f>Roster!J$55+Roster!J$56+Roster!J$59+Roster!J$60+Roster!J$61</f>
        <v>26</v>
      </c>
      <c r="AQ19" s="22">
        <f>Roster!K$55+Roster!K$56+Roster!K$59+Roster!K$60+Roster!K$61</f>
        <v>26</v>
      </c>
      <c r="AR19" s="22">
        <f>Roster!L$55+Roster!L$56+Roster!L$59+Roster!L$60+Roster!L$61</f>
        <v>27</v>
      </c>
      <c r="AS19" s="48">
        <f>Roster!M$55+Roster!M$56+Roster!M$59+Roster!M$60+Roster!M$61</f>
        <v>27</v>
      </c>
      <c r="AU19" s="3">
        <v>0.64583333333333337</v>
      </c>
      <c r="AV19" s="14">
        <f t="shared" si="20"/>
        <v>26.519999999999996</v>
      </c>
      <c r="AW19" s="14">
        <f t="shared" si="21"/>
        <v>23.119999999999997</v>
      </c>
      <c r="AX19" s="14">
        <f t="shared" si="22"/>
        <v>25.159999999999997</v>
      </c>
      <c r="AY19" s="14">
        <f t="shared" si="23"/>
        <v>17.68</v>
      </c>
      <c r="AZ19" s="14">
        <f t="shared" si="24"/>
        <v>17.68</v>
      </c>
      <c r="BA19" s="14">
        <f t="shared" si="25"/>
        <v>18.36</v>
      </c>
      <c r="BB19" s="15">
        <f t="shared" si="26"/>
        <v>18.36</v>
      </c>
      <c r="BD19" s="3">
        <v>0.64583333333333337</v>
      </c>
      <c r="BE19" s="14">
        <f t="shared" si="27"/>
        <v>127.29599999999999</v>
      </c>
      <c r="BF19" s="14">
        <f t="shared" si="28"/>
        <v>110.97599999999998</v>
      </c>
      <c r="BG19" s="14">
        <f t="shared" si="29"/>
        <v>120.76799999999999</v>
      </c>
      <c r="BH19" s="14">
        <f t="shared" si="30"/>
        <v>84.864000000000004</v>
      </c>
      <c r="BI19" s="14">
        <f t="shared" si="31"/>
        <v>84.864000000000004</v>
      </c>
      <c r="BJ19" s="14">
        <f t="shared" si="32"/>
        <v>88.128</v>
      </c>
      <c r="BK19" s="15">
        <f t="shared" si="33"/>
        <v>88.128</v>
      </c>
      <c r="BM19" s="3">
        <v>0.64583333333333337</v>
      </c>
      <c r="BN19" s="14">
        <f t="shared" si="34"/>
        <v>15.956672013307186</v>
      </c>
      <c r="BO19" s="14">
        <f t="shared" si="35"/>
        <v>13.113613734925437</v>
      </c>
      <c r="BP19" s="14">
        <f t="shared" si="36"/>
        <v>15.933332145190988</v>
      </c>
      <c r="BQ19" s="14">
        <f t="shared" si="37"/>
        <v>8.5647204895146398</v>
      </c>
      <c r="BR19" s="14">
        <f t="shared" si="38"/>
        <v>9.1216622111328913</v>
      </c>
      <c r="BS19" s="14">
        <f t="shared" si="39"/>
        <v>12.140817441929538</v>
      </c>
      <c r="BT19" s="15">
        <f t="shared" si="40"/>
        <v>13.49604229786728</v>
      </c>
      <c r="BV19" s="3">
        <v>0.64583333333333337</v>
      </c>
      <c r="BW19" s="14">
        <f t="shared" si="41"/>
        <v>76.592025663874495</v>
      </c>
      <c r="BX19" s="14">
        <f t="shared" si="42"/>
        <v>62.945345927642094</v>
      </c>
      <c r="BY19" s="14">
        <f t="shared" si="43"/>
        <v>76.479994296916743</v>
      </c>
      <c r="BZ19" s="14">
        <f t="shared" si="44"/>
        <v>41.110658349670274</v>
      </c>
      <c r="CA19" s="14">
        <f t="shared" si="45"/>
        <v>43.783978613437881</v>
      </c>
      <c r="CB19" s="14">
        <f t="shared" si="46"/>
        <v>58.27592372126179</v>
      </c>
      <c r="CC19" s="15">
        <f t="shared" si="47"/>
        <v>64.781003029762957</v>
      </c>
    </row>
    <row r="20" spans="2:81" ht="15" thickBot="1" x14ac:dyDescent="0.35">
      <c r="B20" s="3">
        <v>0.66666666666666663</v>
      </c>
      <c r="C20" s="14">
        <v>88.833333333333329</v>
      </c>
      <c r="D20" s="14">
        <v>84.833333333333329</v>
      </c>
      <c r="E20" s="14">
        <v>77.833333333333329</v>
      </c>
      <c r="F20" s="14">
        <v>87.833333333333329</v>
      </c>
      <c r="G20" s="14">
        <v>73.833333333333329</v>
      </c>
      <c r="H20" s="14">
        <v>45.833333333333336</v>
      </c>
      <c r="I20" s="15">
        <v>32.666666666666664</v>
      </c>
      <c r="K20" s="3">
        <v>0.66666666666666663</v>
      </c>
      <c r="L20" s="17">
        <v>4.4468546637744057E-2</v>
      </c>
      <c r="M20" s="17">
        <v>4.6577598828696942E-2</v>
      </c>
      <c r="N20" s="17">
        <v>4.3453987159207237E-2</v>
      </c>
      <c r="O20" s="17">
        <v>4.8406356204647762E-2</v>
      </c>
      <c r="P20" s="17">
        <v>4.601163273784796E-2</v>
      </c>
      <c r="Q20" s="17">
        <v>3.8699690402476776E-2</v>
      </c>
      <c r="R20" s="18">
        <v>3.2396694214876051E-2</v>
      </c>
      <c r="T20" s="3">
        <v>0.66666666666666663</v>
      </c>
      <c r="U20" s="14">
        <f t="shared" si="6"/>
        <v>47.495990019604371</v>
      </c>
      <c r="V20" s="14">
        <f t="shared" si="7"/>
        <v>45.35733380859029</v>
      </c>
      <c r="W20" s="14">
        <f t="shared" si="8"/>
        <v>41.614685439315643</v>
      </c>
      <c r="X20" s="14">
        <f t="shared" si="9"/>
        <v>46.96132596685085</v>
      </c>
      <c r="Y20" s="14">
        <f t="shared" si="10"/>
        <v>39.47602922830157</v>
      </c>
      <c r="Z20" s="14">
        <f t="shared" si="11"/>
        <v>24.505435751203009</v>
      </c>
      <c r="AA20" s="15">
        <f t="shared" si="12"/>
        <v>17.465692389948327</v>
      </c>
      <c r="AC20" s="3">
        <v>0.66666666666666663</v>
      </c>
      <c r="AD20" s="14">
        <f t="shared" si="13"/>
        <v>9.8949979207509102</v>
      </c>
      <c r="AE20" s="14">
        <f t="shared" si="14"/>
        <v>9.4494445434563108</v>
      </c>
      <c r="AF20" s="14">
        <f t="shared" si="15"/>
        <v>8.6697261331907587</v>
      </c>
      <c r="AG20" s="14">
        <f t="shared" si="16"/>
        <v>9.7836095764272599</v>
      </c>
      <c r="AH20" s="14">
        <f t="shared" si="17"/>
        <v>8.224172755896161</v>
      </c>
      <c r="AI20" s="14">
        <f t="shared" si="18"/>
        <v>5.1052991148339606</v>
      </c>
      <c r="AJ20" s="15">
        <f t="shared" si="19"/>
        <v>3.6386859145725681</v>
      </c>
      <c r="AL20" s="3">
        <v>0.66666666666666663</v>
      </c>
      <c r="AM20" s="22">
        <f>Roster!G$55+Roster!G$56+Roster!G$59+Roster!G$60+Roster!G$61</f>
        <v>39</v>
      </c>
      <c r="AN20" s="22">
        <f>Roster!H$55+Roster!H$56+Roster!H$59+Roster!H$60+Roster!H$61</f>
        <v>34</v>
      </c>
      <c r="AO20" s="22">
        <f>Roster!I$55+Roster!I$56+Roster!I$59+Roster!I$60+Roster!I$61</f>
        <v>37</v>
      </c>
      <c r="AP20" s="22">
        <f>Roster!J$55+Roster!J$56+Roster!J$59+Roster!J$60+Roster!J$61</f>
        <v>26</v>
      </c>
      <c r="AQ20" s="22">
        <f>Roster!K$55+Roster!K$56+Roster!K$59+Roster!K$60+Roster!K$61</f>
        <v>26</v>
      </c>
      <c r="AR20" s="22">
        <f>Roster!L$55+Roster!L$56+Roster!L$59+Roster!L$60+Roster!L$61</f>
        <v>27</v>
      </c>
      <c r="AS20" s="48">
        <f>Roster!M$55+Roster!M$56+Roster!M$59+Roster!M$60+Roster!M$61</f>
        <v>27</v>
      </c>
      <c r="AU20" s="3">
        <v>0.66666666666666663</v>
      </c>
      <c r="AV20" s="14">
        <f t="shared" si="20"/>
        <v>26.519999999999996</v>
      </c>
      <c r="AW20" s="14">
        <f t="shared" si="21"/>
        <v>23.119999999999997</v>
      </c>
      <c r="AX20" s="14">
        <f t="shared" si="22"/>
        <v>25.159999999999997</v>
      </c>
      <c r="AY20" s="14">
        <f t="shared" si="23"/>
        <v>17.68</v>
      </c>
      <c r="AZ20" s="14">
        <f t="shared" si="24"/>
        <v>17.68</v>
      </c>
      <c r="BA20" s="14">
        <f t="shared" si="25"/>
        <v>18.36</v>
      </c>
      <c r="BB20" s="15">
        <f t="shared" si="26"/>
        <v>18.36</v>
      </c>
      <c r="BD20" s="3">
        <v>0.66666666666666663</v>
      </c>
      <c r="BE20" s="14">
        <f t="shared" si="27"/>
        <v>127.29599999999999</v>
      </c>
      <c r="BF20" s="14">
        <f t="shared" si="28"/>
        <v>110.97599999999998</v>
      </c>
      <c r="BG20" s="14">
        <f t="shared" si="29"/>
        <v>120.76799999999999</v>
      </c>
      <c r="BH20" s="14">
        <f t="shared" si="30"/>
        <v>84.864000000000004</v>
      </c>
      <c r="BI20" s="14">
        <f t="shared" si="31"/>
        <v>84.864000000000004</v>
      </c>
      <c r="BJ20" s="14">
        <f t="shared" si="32"/>
        <v>88.128</v>
      </c>
      <c r="BK20" s="15">
        <f t="shared" si="33"/>
        <v>88.128</v>
      </c>
      <c r="BM20" s="3">
        <v>0.66666666666666663</v>
      </c>
      <c r="BN20" s="14">
        <f t="shared" si="34"/>
        <v>16.625002079249086</v>
      </c>
      <c r="BO20" s="14">
        <f t="shared" si="35"/>
        <v>13.670555456543687</v>
      </c>
      <c r="BP20" s="14">
        <f t="shared" si="36"/>
        <v>16.49027386680924</v>
      </c>
      <c r="BQ20" s="14">
        <f t="shared" si="37"/>
        <v>7.8963904235727398</v>
      </c>
      <c r="BR20" s="14">
        <f t="shared" si="38"/>
        <v>9.4558272441038387</v>
      </c>
      <c r="BS20" s="14">
        <f t="shared" si="39"/>
        <v>13.254700885166038</v>
      </c>
      <c r="BT20" s="15">
        <f t="shared" si="40"/>
        <v>14.721314085427432</v>
      </c>
      <c r="BV20" s="3">
        <v>0.66666666666666663</v>
      </c>
      <c r="BW20" s="14">
        <f t="shared" si="41"/>
        <v>79.800009980395629</v>
      </c>
      <c r="BX20" s="14">
        <f t="shared" si="42"/>
        <v>65.618666191409687</v>
      </c>
      <c r="BY20" s="14">
        <f t="shared" si="43"/>
        <v>79.15331456068435</v>
      </c>
      <c r="BZ20" s="14">
        <f t="shared" si="44"/>
        <v>37.902674033149154</v>
      </c>
      <c r="CA20" s="14">
        <f t="shared" si="45"/>
        <v>45.387970771698434</v>
      </c>
      <c r="CB20" s="14">
        <f t="shared" si="46"/>
        <v>63.622564248796991</v>
      </c>
      <c r="CC20" s="15">
        <f t="shared" si="47"/>
        <v>70.66230761005167</v>
      </c>
    </row>
    <row r="21" spans="2:81" ht="15" thickBot="1" x14ac:dyDescent="0.35">
      <c r="B21" s="3">
        <v>0.6875</v>
      </c>
      <c r="C21" s="14">
        <v>81.833333333333329</v>
      </c>
      <c r="D21" s="14">
        <v>71.833333333333329</v>
      </c>
      <c r="E21" s="14">
        <v>68.833333333333329</v>
      </c>
      <c r="F21" s="14">
        <v>73.833333333333329</v>
      </c>
      <c r="G21" s="14">
        <v>76.833333333333329</v>
      </c>
      <c r="H21" s="14">
        <v>42.833333333333336</v>
      </c>
      <c r="I21" s="15">
        <v>40.666666666666664</v>
      </c>
      <c r="K21" s="3">
        <v>0.6875</v>
      </c>
      <c r="L21" s="17">
        <v>4.0964458534957469E-2</v>
      </c>
      <c r="M21" s="17">
        <v>3.9439970717423146E-2</v>
      </c>
      <c r="N21" s="17">
        <v>3.8429329115101905E-2</v>
      </c>
      <c r="O21" s="17">
        <v>4.0690732065766524E-2</v>
      </c>
      <c r="P21" s="17">
        <v>4.7881179891981734E-2</v>
      </c>
      <c r="Q21" s="17">
        <v>3.6166619757951025E-2</v>
      </c>
      <c r="R21" s="18">
        <v>4.0330578512396714E-2</v>
      </c>
      <c r="T21" s="3">
        <v>0.6875</v>
      </c>
      <c r="U21" s="14">
        <f t="shared" si="6"/>
        <v>43.75334165032973</v>
      </c>
      <c r="V21" s="14">
        <f t="shared" si="7"/>
        <v>38.406701122794523</v>
      </c>
      <c r="W21" s="14">
        <f t="shared" si="8"/>
        <v>36.802708964533963</v>
      </c>
      <c r="X21" s="14">
        <f t="shared" si="9"/>
        <v>39.47602922830157</v>
      </c>
      <c r="Y21" s="14">
        <f t="shared" si="10"/>
        <v>41.080021386562123</v>
      </c>
      <c r="Z21" s="14">
        <f t="shared" si="11"/>
        <v>22.901443592942449</v>
      </c>
      <c r="AA21" s="15">
        <f t="shared" si="12"/>
        <v>21.743004811976487</v>
      </c>
      <c r="AC21" s="3">
        <v>0.6875</v>
      </c>
      <c r="AD21" s="14">
        <f t="shared" si="13"/>
        <v>9.1152795104853599</v>
      </c>
      <c r="AE21" s="14">
        <f t="shared" si="14"/>
        <v>8.0013960672488587</v>
      </c>
      <c r="AF21" s="14">
        <f t="shared" si="15"/>
        <v>7.6672310342779095</v>
      </c>
      <c r="AG21" s="14">
        <f t="shared" si="16"/>
        <v>8.224172755896161</v>
      </c>
      <c r="AH21" s="14">
        <f t="shared" si="17"/>
        <v>8.5583377888671084</v>
      </c>
      <c r="AI21" s="14">
        <f t="shared" si="18"/>
        <v>4.7711340818630106</v>
      </c>
      <c r="AJ21" s="15">
        <f t="shared" si="19"/>
        <v>4.5297926691617683</v>
      </c>
      <c r="AL21" s="3">
        <v>0.6875</v>
      </c>
      <c r="AM21" s="22">
        <f>Roster!G$55+Roster!G$56+Roster!G$59+Roster!G$60+Roster!G$61</f>
        <v>39</v>
      </c>
      <c r="AN21" s="22">
        <f>Roster!H$55+Roster!H$56+Roster!H$59+Roster!H$60+Roster!H$61</f>
        <v>34</v>
      </c>
      <c r="AO21" s="22">
        <f>Roster!I$55+Roster!I$56+Roster!I$59+Roster!I$60+Roster!I$61</f>
        <v>37</v>
      </c>
      <c r="AP21" s="22">
        <f>Roster!J$55+Roster!J$56+Roster!J$59+Roster!J$60+Roster!J$61</f>
        <v>26</v>
      </c>
      <c r="AQ21" s="22">
        <f>Roster!K$55+Roster!K$56+Roster!K$59+Roster!K$60+Roster!K$61</f>
        <v>26</v>
      </c>
      <c r="AR21" s="22">
        <f>Roster!L$55+Roster!L$56+Roster!L$59+Roster!L$60+Roster!L$61</f>
        <v>27</v>
      </c>
      <c r="AS21" s="48">
        <f>Roster!M$55+Roster!M$56+Roster!M$59+Roster!M$60+Roster!M$61</f>
        <v>27</v>
      </c>
      <c r="AU21" s="3">
        <v>0.6875</v>
      </c>
      <c r="AV21" s="14">
        <f t="shared" si="20"/>
        <v>26.519999999999996</v>
      </c>
      <c r="AW21" s="14">
        <f t="shared" si="21"/>
        <v>23.119999999999997</v>
      </c>
      <c r="AX21" s="14">
        <f t="shared" si="22"/>
        <v>25.159999999999997</v>
      </c>
      <c r="AY21" s="14">
        <f t="shared" si="23"/>
        <v>17.68</v>
      </c>
      <c r="AZ21" s="14">
        <f t="shared" si="24"/>
        <v>17.68</v>
      </c>
      <c r="BA21" s="14">
        <f t="shared" si="25"/>
        <v>18.36</v>
      </c>
      <c r="BB21" s="15">
        <f t="shared" si="26"/>
        <v>18.36</v>
      </c>
      <c r="BD21" s="3">
        <v>0.6875</v>
      </c>
      <c r="BE21" s="14">
        <f t="shared" si="27"/>
        <v>127.29599999999999</v>
      </c>
      <c r="BF21" s="14">
        <f t="shared" si="28"/>
        <v>110.97599999999998</v>
      </c>
      <c r="BG21" s="14">
        <f t="shared" si="29"/>
        <v>120.76799999999999</v>
      </c>
      <c r="BH21" s="14">
        <f t="shared" si="30"/>
        <v>84.864000000000004</v>
      </c>
      <c r="BI21" s="14">
        <f t="shared" si="31"/>
        <v>84.864000000000004</v>
      </c>
      <c r="BJ21" s="14">
        <f t="shared" si="32"/>
        <v>88.128</v>
      </c>
      <c r="BK21" s="15">
        <f t="shared" si="33"/>
        <v>88.128</v>
      </c>
      <c r="BM21" s="3">
        <v>0.6875</v>
      </c>
      <c r="BN21" s="14">
        <f t="shared" si="34"/>
        <v>17.404720489514638</v>
      </c>
      <c r="BO21" s="14">
        <f t="shared" si="35"/>
        <v>15.118603932751139</v>
      </c>
      <c r="BP21" s="14">
        <f t="shared" si="36"/>
        <v>17.492768965722085</v>
      </c>
      <c r="BQ21" s="14">
        <f t="shared" si="37"/>
        <v>9.4558272441038387</v>
      </c>
      <c r="BR21" s="14">
        <f t="shared" si="38"/>
        <v>9.1216622111328913</v>
      </c>
      <c r="BS21" s="14">
        <f t="shared" si="39"/>
        <v>13.588865918136989</v>
      </c>
      <c r="BT21" s="15">
        <f t="shared" si="40"/>
        <v>13.830207330838231</v>
      </c>
      <c r="BV21" s="3">
        <v>0.6875</v>
      </c>
      <c r="BW21" s="14">
        <f t="shared" si="41"/>
        <v>83.542658349670262</v>
      </c>
      <c r="BX21" s="14">
        <f t="shared" si="42"/>
        <v>72.569298877205455</v>
      </c>
      <c r="BY21" s="14">
        <f t="shared" si="43"/>
        <v>83.965291035466024</v>
      </c>
      <c r="BZ21" s="14">
        <f t="shared" si="44"/>
        <v>45.387970771698434</v>
      </c>
      <c r="CA21" s="14">
        <f t="shared" si="45"/>
        <v>43.783978613437881</v>
      </c>
      <c r="CB21" s="14">
        <f t="shared" si="46"/>
        <v>65.226556407057558</v>
      </c>
      <c r="CC21" s="15">
        <f t="shared" si="47"/>
        <v>66.38499518802351</v>
      </c>
    </row>
    <row r="22" spans="2:81" ht="15" thickBot="1" x14ac:dyDescent="0.35">
      <c r="B22" s="3">
        <v>0.70833333333333337</v>
      </c>
      <c r="C22" s="14">
        <v>84.833333333333329</v>
      </c>
      <c r="D22" s="14">
        <v>70.833333333333329</v>
      </c>
      <c r="E22" s="14">
        <v>70.833333333333329</v>
      </c>
      <c r="F22" s="14">
        <v>79.833333333333329</v>
      </c>
      <c r="G22" s="14">
        <v>62.833333333333336</v>
      </c>
      <c r="H22" s="14">
        <v>43.833333333333336</v>
      </c>
      <c r="I22" s="15">
        <v>35.666666666666664</v>
      </c>
      <c r="K22" s="3">
        <v>0.70833333333333337</v>
      </c>
      <c r="L22" s="17">
        <v>4.2466210579008866E-2</v>
      </c>
      <c r="M22" s="17">
        <v>3.889092240117132E-2</v>
      </c>
      <c r="N22" s="17">
        <v>3.9545919791569753E-2</v>
      </c>
      <c r="O22" s="17">
        <v>4.3997428125287057E-2</v>
      </c>
      <c r="P22" s="17">
        <v>3.9156626506024111E-2</v>
      </c>
      <c r="Q22" s="17">
        <v>3.7010976639459611E-2</v>
      </c>
      <c r="R22" s="18">
        <v>3.5371900826446298E-2</v>
      </c>
      <c r="T22" s="3">
        <v>0.70833333333333337</v>
      </c>
      <c r="U22" s="14">
        <f t="shared" si="6"/>
        <v>45.35733380859029</v>
      </c>
      <c r="V22" s="14">
        <f t="shared" si="7"/>
        <v>37.87203707004101</v>
      </c>
      <c r="W22" s="14">
        <f t="shared" si="8"/>
        <v>37.872037070041003</v>
      </c>
      <c r="X22" s="14">
        <f t="shared" si="9"/>
        <v>42.68401354482269</v>
      </c>
      <c r="Y22" s="14">
        <f t="shared" si="10"/>
        <v>33.59472464801285</v>
      </c>
      <c r="Z22" s="14">
        <f t="shared" si="11"/>
        <v>23.436107645695969</v>
      </c>
      <c r="AA22" s="15">
        <f t="shared" si="12"/>
        <v>19.069684548208887</v>
      </c>
      <c r="AC22" s="3">
        <v>0.70833333333333337</v>
      </c>
      <c r="AD22" s="14">
        <f t="shared" si="13"/>
        <v>9.4494445434563108</v>
      </c>
      <c r="AE22" s="14">
        <f t="shared" si="14"/>
        <v>7.890007722925211</v>
      </c>
      <c r="AF22" s="14">
        <f t="shared" si="15"/>
        <v>7.8900077229252092</v>
      </c>
      <c r="AG22" s="14">
        <f t="shared" si="16"/>
        <v>8.8925028218380611</v>
      </c>
      <c r="AH22" s="14">
        <f t="shared" si="17"/>
        <v>6.9989009683360113</v>
      </c>
      <c r="AI22" s="14">
        <f t="shared" si="18"/>
        <v>4.88252242618666</v>
      </c>
      <c r="AJ22" s="15">
        <f t="shared" si="19"/>
        <v>3.9728509475435176</v>
      </c>
      <c r="AL22" s="3">
        <v>0.70833333333333337</v>
      </c>
      <c r="AM22" s="22">
        <f>Roster!G$55+Roster!G$56+Roster!G$59+Roster!G$60+Roster!G$61</f>
        <v>39</v>
      </c>
      <c r="AN22" s="22">
        <f>Roster!H$55+Roster!H$56+Roster!H$59+Roster!H$60+Roster!H$61</f>
        <v>34</v>
      </c>
      <c r="AO22" s="22">
        <f>Roster!I$55+Roster!I$56+Roster!I$59+Roster!I$60+Roster!I$61</f>
        <v>37</v>
      </c>
      <c r="AP22" s="22">
        <f>Roster!J$55+Roster!J$56+Roster!J$59+Roster!J$60+Roster!J$61</f>
        <v>26</v>
      </c>
      <c r="AQ22" s="22">
        <f>Roster!K$55+Roster!K$56+Roster!K$59+Roster!K$60+Roster!K$61</f>
        <v>26</v>
      </c>
      <c r="AR22" s="22">
        <f>Roster!L$55+Roster!L$56+Roster!L$59+Roster!L$60+Roster!L$61</f>
        <v>27</v>
      </c>
      <c r="AS22" s="48">
        <f>Roster!M$55+Roster!M$56+Roster!M$59+Roster!M$60+Roster!M$61</f>
        <v>27</v>
      </c>
      <c r="AU22" s="3">
        <v>0.70833333333333337</v>
      </c>
      <c r="AV22" s="14">
        <f t="shared" si="20"/>
        <v>26.519999999999996</v>
      </c>
      <c r="AW22" s="14">
        <f t="shared" si="21"/>
        <v>23.119999999999997</v>
      </c>
      <c r="AX22" s="14">
        <f t="shared" si="22"/>
        <v>25.159999999999997</v>
      </c>
      <c r="AY22" s="14">
        <f t="shared" si="23"/>
        <v>17.68</v>
      </c>
      <c r="AZ22" s="14">
        <f t="shared" si="24"/>
        <v>17.68</v>
      </c>
      <c r="BA22" s="14">
        <f t="shared" si="25"/>
        <v>18.36</v>
      </c>
      <c r="BB22" s="15">
        <f t="shared" si="26"/>
        <v>18.36</v>
      </c>
      <c r="BD22" s="3">
        <v>0.70833333333333337</v>
      </c>
      <c r="BE22" s="14">
        <f t="shared" si="27"/>
        <v>127.29599999999999</v>
      </c>
      <c r="BF22" s="14">
        <f t="shared" si="28"/>
        <v>110.97599999999998</v>
      </c>
      <c r="BG22" s="14">
        <f t="shared" si="29"/>
        <v>120.76799999999999</v>
      </c>
      <c r="BH22" s="14">
        <f t="shared" si="30"/>
        <v>84.864000000000004</v>
      </c>
      <c r="BI22" s="14">
        <f t="shared" si="31"/>
        <v>84.864000000000004</v>
      </c>
      <c r="BJ22" s="14">
        <f t="shared" si="32"/>
        <v>88.128</v>
      </c>
      <c r="BK22" s="15">
        <f t="shared" si="33"/>
        <v>88.128</v>
      </c>
      <c r="BM22" s="3">
        <v>0.70833333333333337</v>
      </c>
      <c r="BN22" s="14">
        <f t="shared" si="34"/>
        <v>17.070555456543687</v>
      </c>
      <c r="BO22" s="14">
        <f t="shared" si="35"/>
        <v>15.229992277074786</v>
      </c>
      <c r="BP22" s="14">
        <f t="shared" si="36"/>
        <v>17.269992277074788</v>
      </c>
      <c r="BQ22" s="14">
        <f t="shared" si="37"/>
        <v>8.7874971781619386</v>
      </c>
      <c r="BR22" s="14">
        <f t="shared" si="38"/>
        <v>10.681099031663988</v>
      </c>
      <c r="BS22" s="14">
        <f t="shared" si="39"/>
        <v>13.477477573813339</v>
      </c>
      <c r="BT22" s="15">
        <f t="shared" si="40"/>
        <v>14.387149052456483</v>
      </c>
      <c r="BV22" s="3">
        <v>0.70833333333333337</v>
      </c>
      <c r="BW22" s="14">
        <f t="shared" si="41"/>
        <v>81.938666191409709</v>
      </c>
      <c r="BX22" s="14">
        <f t="shared" si="42"/>
        <v>73.103962929958982</v>
      </c>
      <c r="BY22" s="14">
        <f t="shared" si="43"/>
        <v>82.895962929958984</v>
      </c>
      <c r="BZ22" s="14">
        <f t="shared" si="44"/>
        <v>42.179986455177314</v>
      </c>
      <c r="CA22" s="14">
        <f t="shared" si="45"/>
        <v>51.269275351987154</v>
      </c>
      <c r="CB22" s="14">
        <f t="shared" si="46"/>
        <v>64.691892354304031</v>
      </c>
      <c r="CC22" s="15">
        <f t="shared" si="47"/>
        <v>69.058315451791117</v>
      </c>
    </row>
    <row r="23" spans="2:81" ht="15" thickBot="1" x14ac:dyDescent="0.35">
      <c r="B23" s="3">
        <v>0.72916666666666663</v>
      </c>
      <c r="C23" s="14">
        <v>64.833333333333329</v>
      </c>
      <c r="D23" s="14">
        <v>60.833333333333336</v>
      </c>
      <c r="E23" s="14">
        <v>49.833333333333336</v>
      </c>
      <c r="F23" s="14">
        <v>62.833333333333336</v>
      </c>
      <c r="G23" s="14">
        <v>54.833333333333336</v>
      </c>
      <c r="H23" s="14">
        <v>37.833333333333336</v>
      </c>
      <c r="I23" s="15">
        <v>39.666666666666664</v>
      </c>
      <c r="K23" s="3">
        <v>0.72916666666666663</v>
      </c>
      <c r="L23" s="17">
        <v>3.2454530285332905E-2</v>
      </c>
      <c r="M23" s="17">
        <v>3.3400439238653018E-2</v>
      </c>
      <c r="N23" s="17">
        <v>2.7821717688657314E-2</v>
      </c>
      <c r="O23" s="17">
        <v>3.4628455956645557E-2</v>
      </c>
      <c r="P23" s="17">
        <v>3.4171167428334037E-2</v>
      </c>
      <c r="Q23" s="17">
        <v>3.1944835350408103E-2</v>
      </c>
      <c r="R23" s="18">
        <v>3.933884297520663E-2</v>
      </c>
      <c r="T23" s="3">
        <v>0.72916666666666663</v>
      </c>
      <c r="U23" s="14">
        <f t="shared" si="6"/>
        <v>34.66405275351989</v>
      </c>
      <c r="V23" s="14">
        <f t="shared" si="7"/>
        <v>32.52539654250581</v>
      </c>
      <c r="W23" s="14">
        <f t="shared" si="8"/>
        <v>26.644091962217086</v>
      </c>
      <c r="X23" s="14">
        <f t="shared" si="9"/>
        <v>33.59472464801285</v>
      </c>
      <c r="Y23" s="14">
        <f t="shared" si="10"/>
        <v>29.317412225984686</v>
      </c>
      <c r="Z23" s="14">
        <f t="shared" si="11"/>
        <v>20.228123329174846</v>
      </c>
      <c r="AA23" s="15">
        <f t="shared" si="12"/>
        <v>21.208340759222967</v>
      </c>
      <c r="AC23" s="3">
        <v>0.72916666666666663</v>
      </c>
      <c r="AD23" s="14">
        <f t="shared" si="13"/>
        <v>7.2216776569833101</v>
      </c>
      <c r="AE23" s="14">
        <f t="shared" si="14"/>
        <v>6.7761242796887107</v>
      </c>
      <c r="AF23" s="14">
        <f t="shared" si="15"/>
        <v>5.55085249212856</v>
      </c>
      <c r="AG23" s="14">
        <f t="shared" si="16"/>
        <v>6.9989009683360113</v>
      </c>
      <c r="AH23" s="14">
        <f t="shared" si="17"/>
        <v>6.1077942137468098</v>
      </c>
      <c r="AI23" s="14">
        <f t="shared" si="18"/>
        <v>4.2141923602447591</v>
      </c>
      <c r="AJ23" s="15">
        <f t="shared" si="19"/>
        <v>4.418404324838118</v>
      </c>
      <c r="AL23" s="3">
        <v>0.72916666666666663</v>
      </c>
      <c r="AM23" s="22">
        <f>Roster!G$55+Roster!G$56+Roster!G$59+Roster!G$60+Roster!G$61</f>
        <v>39</v>
      </c>
      <c r="AN23" s="22">
        <f>Roster!H$55+Roster!H$56+Roster!H$59+Roster!H$60+Roster!H$61</f>
        <v>34</v>
      </c>
      <c r="AO23" s="22">
        <f>Roster!I$55+Roster!I$56+Roster!I$59+Roster!I$60+Roster!I$61</f>
        <v>37</v>
      </c>
      <c r="AP23" s="22">
        <f>Roster!J$55+Roster!J$56+Roster!J$59+Roster!J$60+Roster!J$61</f>
        <v>26</v>
      </c>
      <c r="AQ23" s="22">
        <f>Roster!K$55+Roster!K$56+Roster!K$59+Roster!K$60+Roster!K$61</f>
        <v>26</v>
      </c>
      <c r="AR23" s="22">
        <f>Roster!L$55+Roster!L$56+Roster!L$59+Roster!L$60+Roster!L$61</f>
        <v>27</v>
      </c>
      <c r="AS23" s="48">
        <f>Roster!M$55+Roster!M$56+Roster!M$59+Roster!M$60+Roster!M$61</f>
        <v>27</v>
      </c>
      <c r="AU23" s="3">
        <v>0.72916666666666663</v>
      </c>
      <c r="AV23" s="14">
        <f t="shared" si="20"/>
        <v>26.519999999999996</v>
      </c>
      <c r="AW23" s="14">
        <f t="shared" si="21"/>
        <v>23.119999999999997</v>
      </c>
      <c r="AX23" s="14">
        <f t="shared" si="22"/>
        <v>25.159999999999997</v>
      </c>
      <c r="AY23" s="14">
        <f t="shared" si="23"/>
        <v>17.68</v>
      </c>
      <c r="AZ23" s="14">
        <f t="shared" si="24"/>
        <v>17.68</v>
      </c>
      <c r="BA23" s="14">
        <f t="shared" si="25"/>
        <v>18.36</v>
      </c>
      <c r="BB23" s="15">
        <f t="shared" si="26"/>
        <v>18.36</v>
      </c>
      <c r="BD23" s="3">
        <v>0.72916666666666663</v>
      </c>
      <c r="BE23" s="14">
        <f t="shared" si="27"/>
        <v>127.29599999999999</v>
      </c>
      <c r="BF23" s="14">
        <f t="shared" si="28"/>
        <v>110.97599999999998</v>
      </c>
      <c r="BG23" s="14">
        <f t="shared" si="29"/>
        <v>120.76799999999999</v>
      </c>
      <c r="BH23" s="14">
        <f t="shared" si="30"/>
        <v>84.864000000000004</v>
      </c>
      <c r="BI23" s="14">
        <f t="shared" si="31"/>
        <v>84.864000000000004</v>
      </c>
      <c r="BJ23" s="14">
        <f t="shared" si="32"/>
        <v>88.128</v>
      </c>
      <c r="BK23" s="15">
        <f t="shared" si="33"/>
        <v>88.128</v>
      </c>
      <c r="BM23" s="3">
        <v>0.72916666666666663</v>
      </c>
      <c r="BN23" s="14">
        <f t="shared" si="34"/>
        <v>19.298322343016686</v>
      </c>
      <c r="BO23" s="14">
        <f t="shared" si="35"/>
        <v>16.343875720311289</v>
      </c>
      <c r="BP23" s="14">
        <f t="shared" si="36"/>
        <v>19.609147507871437</v>
      </c>
      <c r="BQ23" s="14">
        <f t="shared" si="37"/>
        <v>10.681099031663988</v>
      </c>
      <c r="BR23" s="14">
        <f t="shared" si="38"/>
        <v>11.572205786253189</v>
      </c>
      <c r="BS23" s="14">
        <f t="shared" si="39"/>
        <v>14.14580763975524</v>
      </c>
      <c r="BT23" s="15">
        <f t="shared" si="40"/>
        <v>13.941595675161881</v>
      </c>
      <c r="BV23" s="3">
        <v>0.72916666666666663</v>
      </c>
      <c r="BW23" s="14">
        <f t="shared" si="41"/>
        <v>92.631947246480109</v>
      </c>
      <c r="BX23" s="14">
        <f t="shared" si="42"/>
        <v>78.450603457494168</v>
      </c>
      <c r="BY23" s="14">
        <f t="shared" si="43"/>
        <v>94.123908037782897</v>
      </c>
      <c r="BZ23" s="14">
        <f t="shared" si="44"/>
        <v>51.269275351987154</v>
      </c>
      <c r="CA23" s="14">
        <f t="shared" si="45"/>
        <v>55.546587774015322</v>
      </c>
      <c r="CB23" s="14">
        <f t="shared" si="46"/>
        <v>67.899876670825151</v>
      </c>
      <c r="CC23" s="15">
        <f t="shared" si="47"/>
        <v>66.919659240777037</v>
      </c>
    </row>
    <row r="24" spans="2:81" ht="15" thickBot="1" x14ac:dyDescent="0.35">
      <c r="B24" s="3">
        <v>0.75</v>
      </c>
      <c r="C24" s="14">
        <v>55.833333333333336</v>
      </c>
      <c r="D24" s="14">
        <v>49.833333333333336</v>
      </c>
      <c r="E24" s="14">
        <v>53.833333333333336</v>
      </c>
      <c r="F24" s="14">
        <v>44.833333333333336</v>
      </c>
      <c r="G24" s="14">
        <v>48.833333333333336</v>
      </c>
      <c r="H24" s="14">
        <v>29.833333333333332</v>
      </c>
      <c r="I24" s="15">
        <v>30.666666666666668</v>
      </c>
      <c r="K24" s="3">
        <v>0.75</v>
      </c>
      <c r="L24" s="17">
        <v>2.7949274153178723E-2</v>
      </c>
      <c r="M24" s="17">
        <v>2.7360907759882883E-2</v>
      </c>
      <c r="N24" s="17">
        <v>3.0054899041593017E-2</v>
      </c>
      <c r="O24" s="17">
        <v>2.4708367778083964E-2</v>
      </c>
      <c r="P24" s="17">
        <v>3.0432073120066485E-2</v>
      </c>
      <c r="Q24" s="17">
        <v>2.5189980298339427E-2</v>
      </c>
      <c r="R24" s="18">
        <v>3.0413223140495885E-2</v>
      </c>
      <c r="T24" s="3">
        <v>0.75</v>
      </c>
      <c r="U24" s="14">
        <f t="shared" si="6"/>
        <v>29.85207627873821</v>
      </c>
      <c r="V24" s="14">
        <f t="shared" si="7"/>
        <v>26.64409196221709</v>
      </c>
      <c r="W24" s="14">
        <f t="shared" si="8"/>
        <v>28.782748173231166</v>
      </c>
      <c r="X24" s="14">
        <f t="shared" si="9"/>
        <v>23.970771698449486</v>
      </c>
      <c r="Y24" s="14">
        <f t="shared" si="10"/>
        <v>26.109427909463566</v>
      </c>
      <c r="Z24" s="14">
        <f t="shared" si="11"/>
        <v>15.950810907146684</v>
      </c>
      <c r="AA24" s="15">
        <f t="shared" si="12"/>
        <v>16.396364284441287</v>
      </c>
      <c r="AC24" s="3">
        <v>0.75</v>
      </c>
      <c r="AD24" s="14">
        <f t="shared" si="13"/>
        <v>6.2191825580704609</v>
      </c>
      <c r="AE24" s="14">
        <f t="shared" si="14"/>
        <v>5.55085249212856</v>
      </c>
      <c r="AF24" s="14">
        <f t="shared" si="15"/>
        <v>5.9964058694231586</v>
      </c>
      <c r="AG24" s="14">
        <f t="shared" si="16"/>
        <v>4.9939107705103094</v>
      </c>
      <c r="AH24" s="14">
        <f t="shared" si="17"/>
        <v>5.4394641478049097</v>
      </c>
      <c r="AI24" s="14">
        <f t="shared" si="18"/>
        <v>3.3230856056555593</v>
      </c>
      <c r="AJ24" s="15">
        <f t="shared" si="19"/>
        <v>3.4159092259252684</v>
      </c>
      <c r="AL24" s="3">
        <v>0.75</v>
      </c>
      <c r="AM24" s="22">
        <f>Roster!G$56+Roster!G$59+Roster!G$60+Roster!G$61</f>
        <v>15</v>
      </c>
      <c r="AN24" s="22">
        <f>Roster!H$56+Roster!H$59+Roster!H$60+Roster!H$61</f>
        <v>15</v>
      </c>
      <c r="AO24" s="22">
        <f>Roster!I$56+Roster!I$59+Roster!I$60+Roster!I$61</f>
        <v>18</v>
      </c>
      <c r="AP24" s="22">
        <f>Roster!J$56+Roster!J$59+Roster!J$60+Roster!J$61</f>
        <v>11</v>
      </c>
      <c r="AQ24" s="22">
        <f>Roster!K$56+Roster!K$59+Roster!K$60+Roster!K$61</f>
        <v>11</v>
      </c>
      <c r="AR24" s="22">
        <f>Roster!L$56+Roster!L$59+Roster!L$60+Roster!L$61</f>
        <v>12</v>
      </c>
      <c r="AS24" s="48">
        <f>Roster!M$56+Roster!M$59+Roster!M$60+Roster!M$61</f>
        <v>12</v>
      </c>
      <c r="AU24" s="3">
        <v>0.75</v>
      </c>
      <c r="AV24" s="14">
        <f t="shared" si="20"/>
        <v>10.199999999999999</v>
      </c>
      <c r="AW24" s="14">
        <f t="shared" si="21"/>
        <v>10.199999999999999</v>
      </c>
      <c r="AX24" s="14">
        <f t="shared" si="22"/>
        <v>12.239999999999998</v>
      </c>
      <c r="AY24" s="14">
        <f t="shared" si="23"/>
        <v>7.4799999999999995</v>
      </c>
      <c r="AZ24" s="14">
        <f t="shared" si="24"/>
        <v>7.4799999999999995</v>
      </c>
      <c r="BA24" s="14">
        <f t="shared" si="25"/>
        <v>8.16</v>
      </c>
      <c r="BB24" s="15">
        <f t="shared" si="26"/>
        <v>8.16</v>
      </c>
      <c r="BD24" s="3">
        <v>0.75</v>
      </c>
      <c r="BE24" s="14">
        <f t="shared" si="27"/>
        <v>48.96</v>
      </c>
      <c r="BF24" s="14">
        <f t="shared" si="28"/>
        <v>48.96</v>
      </c>
      <c r="BG24" s="14">
        <f t="shared" si="29"/>
        <v>58.751999999999995</v>
      </c>
      <c r="BH24" s="14">
        <f t="shared" si="30"/>
        <v>35.904000000000003</v>
      </c>
      <c r="BI24" s="14">
        <f t="shared" si="31"/>
        <v>35.904000000000003</v>
      </c>
      <c r="BJ24" s="14">
        <f t="shared" si="32"/>
        <v>39.168000000000006</v>
      </c>
      <c r="BK24" s="15">
        <f t="shared" si="33"/>
        <v>39.168000000000006</v>
      </c>
      <c r="BM24" s="3">
        <v>0.75</v>
      </c>
      <c r="BN24" s="14">
        <f t="shared" si="34"/>
        <v>3.9808174419295383</v>
      </c>
      <c r="BO24" s="14">
        <f t="shared" si="35"/>
        <v>4.6491475078714393</v>
      </c>
      <c r="BP24" s="14">
        <f t="shared" si="36"/>
        <v>6.2435941305768399</v>
      </c>
      <c r="BQ24" s="14">
        <f t="shared" si="37"/>
        <v>2.4860892294896901</v>
      </c>
      <c r="BR24" s="14">
        <f t="shared" si="38"/>
        <v>2.0405358521950898</v>
      </c>
      <c r="BS24" s="14">
        <f t="shared" si="39"/>
        <v>4.8369143943444408</v>
      </c>
      <c r="BT24" s="15">
        <f t="shared" si="40"/>
        <v>4.7440907740747313</v>
      </c>
      <c r="BV24" s="3">
        <v>0.75</v>
      </c>
      <c r="BW24" s="14">
        <f t="shared" si="41"/>
        <v>19.107923721261791</v>
      </c>
      <c r="BX24" s="14">
        <f t="shared" si="42"/>
        <v>22.315908037782911</v>
      </c>
      <c r="BY24" s="14">
        <f t="shared" si="43"/>
        <v>29.969251826768829</v>
      </c>
      <c r="BZ24" s="14">
        <f t="shared" si="44"/>
        <v>11.933228301550518</v>
      </c>
      <c r="CA24" s="14">
        <f t="shared" si="45"/>
        <v>9.7945720905364375</v>
      </c>
      <c r="CB24" s="14">
        <f t="shared" si="46"/>
        <v>23.217189092853324</v>
      </c>
      <c r="CC24" s="15">
        <f t="shared" si="47"/>
        <v>22.77163571555872</v>
      </c>
    </row>
    <row r="25" spans="2:81" ht="15" thickBot="1" x14ac:dyDescent="0.35">
      <c r="B25" s="3">
        <v>0.77083333333333337</v>
      </c>
      <c r="C25" s="14">
        <v>55.833333333333336</v>
      </c>
      <c r="D25" s="14">
        <v>60.833333333333336</v>
      </c>
      <c r="E25" s="14">
        <v>49.833333333333336</v>
      </c>
      <c r="F25" s="14">
        <v>47.833333333333336</v>
      </c>
      <c r="G25" s="14">
        <v>38.833333333333336</v>
      </c>
      <c r="H25" s="14">
        <v>34.833333333333336</v>
      </c>
      <c r="I25" s="15">
        <v>31.666666666666668</v>
      </c>
      <c r="K25" s="3">
        <v>0.77083333333333337</v>
      </c>
      <c r="L25" s="17">
        <v>2.7949274153178723E-2</v>
      </c>
      <c r="M25" s="17">
        <v>3.3400439238653018E-2</v>
      </c>
      <c r="N25" s="17">
        <v>2.7821717688657314E-2</v>
      </c>
      <c r="O25" s="17">
        <v>2.636171580784423E-2</v>
      </c>
      <c r="P25" s="17">
        <v>2.4200249272953896E-2</v>
      </c>
      <c r="Q25" s="17">
        <v>2.9411764705882353E-2</v>
      </c>
      <c r="R25" s="18">
        <v>3.1404958677685967E-2</v>
      </c>
      <c r="T25" s="3">
        <v>0.77083333333333337</v>
      </c>
      <c r="U25" s="14">
        <f t="shared" si="6"/>
        <v>29.85207627873821</v>
      </c>
      <c r="V25" s="14">
        <f t="shared" si="7"/>
        <v>32.52539654250581</v>
      </c>
      <c r="W25" s="14">
        <f t="shared" si="8"/>
        <v>26.644091962217086</v>
      </c>
      <c r="X25" s="14">
        <f t="shared" si="9"/>
        <v>25.574763856710049</v>
      </c>
      <c r="Y25" s="14">
        <f t="shared" si="10"/>
        <v>20.762787381928366</v>
      </c>
      <c r="Z25" s="14">
        <f t="shared" si="11"/>
        <v>18.624131170914289</v>
      </c>
      <c r="AA25" s="15">
        <f t="shared" si="12"/>
        <v>16.931028337194807</v>
      </c>
      <c r="AC25" s="3">
        <v>0.77083333333333337</v>
      </c>
      <c r="AD25" s="14">
        <f t="shared" si="13"/>
        <v>6.2191825580704609</v>
      </c>
      <c r="AE25" s="14">
        <f t="shared" si="14"/>
        <v>6.7761242796887107</v>
      </c>
      <c r="AF25" s="14">
        <f t="shared" si="15"/>
        <v>5.55085249212856</v>
      </c>
      <c r="AG25" s="14">
        <f t="shared" si="16"/>
        <v>5.3280758034812603</v>
      </c>
      <c r="AH25" s="14">
        <f t="shared" si="17"/>
        <v>4.3255807045684094</v>
      </c>
      <c r="AI25" s="14">
        <f t="shared" si="18"/>
        <v>3.8800273272738099</v>
      </c>
      <c r="AJ25" s="15">
        <f t="shared" si="19"/>
        <v>3.5272975702489178</v>
      </c>
      <c r="AL25" s="3">
        <v>0.77083333333333337</v>
      </c>
      <c r="AM25" s="22">
        <f>Roster!G$56+Roster!G$59+Roster!G$60+Roster!G$61</f>
        <v>15</v>
      </c>
      <c r="AN25" s="22">
        <f>Roster!H$56+Roster!H$59+Roster!H$60+Roster!H$61</f>
        <v>15</v>
      </c>
      <c r="AO25" s="22">
        <f>Roster!I$56+Roster!I$59+Roster!I$60+Roster!I$61</f>
        <v>18</v>
      </c>
      <c r="AP25" s="22">
        <f>Roster!J$56+Roster!J$59+Roster!J$60+Roster!J$61</f>
        <v>11</v>
      </c>
      <c r="AQ25" s="22">
        <f>Roster!K$56+Roster!K$59+Roster!K$60+Roster!K$61</f>
        <v>11</v>
      </c>
      <c r="AR25" s="22">
        <f>Roster!L$56+Roster!L$59+Roster!L$60+Roster!L$61</f>
        <v>12</v>
      </c>
      <c r="AS25" s="48">
        <f>Roster!M$56+Roster!M$59+Roster!M$60+Roster!M$61</f>
        <v>12</v>
      </c>
      <c r="AU25" s="3">
        <v>0.77083333333333337</v>
      </c>
      <c r="AV25" s="14">
        <f t="shared" si="20"/>
        <v>10.199999999999999</v>
      </c>
      <c r="AW25" s="14">
        <f t="shared" si="21"/>
        <v>10.199999999999999</v>
      </c>
      <c r="AX25" s="14">
        <f t="shared" si="22"/>
        <v>12.239999999999998</v>
      </c>
      <c r="AY25" s="14">
        <f t="shared" si="23"/>
        <v>7.4799999999999995</v>
      </c>
      <c r="AZ25" s="14">
        <f t="shared" si="24"/>
        <v>7.4799999999999995</v>
      </c>
      <c r="BA25" s="14">
        <f t="shared" si="25"/>
        <v>8.16</v>
      </c>
      <c r="BB25" s="15">
        <f t="shared" si="26"/>
        <v>8.16</v>
      </c>
      <c r="BD25" s="3">
        <v>0.77083333333333337</v>
      </c>
      <c r="BE25" s="14">
        <f t="shared" si="27"/>
        <v>48.96</v>
      </c>
      <c r="BF25" s="14">
        <f t="shared" si="28"/>
        <v>48.96</v>
      </c>
      <c r="BG25" s="14">
        <f t="shared" si="29"/>
        <v>58.751999999999995</v>
      </c>
      <c r="BH25" s="14">
        <f t="shared" si="30"/>
        <v>35.904000000000003</v>
      </c>
      <c r="BI25" s="14">
        <f t="shared" si="31"/>
        <v>35.904000000000003</v>
      </c>
      <c r="BJ25" s="14">
        <f t="shared" si="32"/>
        <v>39.168000000000006</v>
      </c>
      <c r="BK25" s="15">
        <f t="shared" si="33"/>
        <v>39.168000000000006</v>
      </c>
      <c r="BM25" s="3">
        <v>0.77083333333333337</v>
      </c>
      <c r="BN25" s="14">
        <f t="shared" si="34"/>
        <v>3.9808174419295383</v>
      </c>
      <c r="BO25" s="14">
        <f t="shared" si="35"/>
        <v>3.4238757203112886</v>
      </c>
      <c r="BP25" s="14">
        <f t="shared" si="36"/>
        <v>6.6891475078714384</v>
      </c>
      <c r="BQ25" s="14">
        <f t="shared" si="37"/>
        <v>2.1519241965187392</v>
      </c>
      <c r="BR25" s="14">
        <f t="shared" si="38"/>
        <v>3.1544192954315902</v>
      </c>
      <c r="BS25" s="14">
        <f t="shared" si="39"/>
        <v>4.2799726727261902</v>
      </c>
      <c r="BT25" s="15">
        <f t="shared" si="40"/>
        <v>4.6327024297510828</v>
      </c>
      <c r="BV25" s="3">
        <v>0.77083333333333337</v>
      </c>
      <c r="BW25" s="14">
        <f t="shared" si="41"/>
        <v>19.107923721261791</v>
      </c>
      <c r="BX25" s="14">
        <f t="shared" si="42"/>
        <v>16.434603457494191</v>
      </c>
      <c r="BY25" s="14">
        <f t="shared" si="43"/>
        <v>32.107908037782906</v>
      </c>
      <c r="BZ25" s="14">
        <f t="shared" si="44"/>
        <v>10.329236143289954</v>
      </c>
      <c r="CA25" s="14">
        <f t="shared" si="45"/>
        <v>15.141212618071638</v>
      </c>
      <c r="CB25" s="14">
        <f t="shared" si="46"/>
        <v>20.543868829085717</v>
      </c>
      <c r="CC25" s="15">
        <f t="shared" si="47"/>
        <v>22.2369716628052</v>
      </c>
    </row>
    <row r="26" spans="2:81" ht="15" thickBot="1" x14ac:dyDescent="0.35">
      <c r="B26" s="3">
        <v>0.79166666666666663</v>
      </c>
      <c r="C26" s="14">
        <v>52.833333333333336</v>
      </c>
      <c r="D26" s="14">
        <v>42.833333333333336</v>
      </c>
      <c r="E26" s="14">
        <v>41.833333333333336</v>
      </c>
      <c r="F26" s="14">
        <v>46.833333333333336</v>
      </c>
      <c r="G26" s="14">
        <v>36.833333333333336</v>
      </c>
      <c r="H26" s="14">
        <v>25.833333333333332</v>
      </c>
      <c r="I26" s="15">
        <v>27.666666666666668</v>
      </c>
      <c r="K26" s="3">
        <v>0.79166666666666663</v>
      </c>
      <c r="L26" s="17">
        <v>2.644752210912733E-2</v>
      </c>
      <c r="M26" s="17">
        <v>2.3517569546120071E-2</v>
      </c>
      <c r="N26" s="17">
        <v>2.3355354982785907E-2</v>
      </c>
      <c r="O26" s="17">
        <v>2.581059979792414E-2</v>
      </c>
      <c r="P26" s="17">
        <v>2.2953884503531377E-2</v>
      </c>
      <c r="Q26" s="17">
        <v>2.181255277230509E-2</v>
      </c>
      <c r="R26" s="18">
        <v>2.7438016528925635E-2</v>
      </c>
      <c r="T26" s="3">
        <v>0.79166666666666663</v>
      </c>
      <c r="U26" s="14">
        <f t="shared" si="6"/>
        <v>28.24808412047765</v>
      </c>
      <c r="V26" s="14">
        <f t="shared" si="7"/>
        <v>22.901443592942449</v>
      </c>
      <c r="W26" s="14">
        <f t="shared" si="8"/>
        <v>22.366779540188926</v>
      </c>
      <c r="X26" s="14">
        <f t="shared" si="9"/>
        <v>25.040099803956526</v>
      </c>
      <c r="Y26" s="14">
        <f t="shared" si="10"/>
        <v>19.693459276421326</v>
      </c>
      <c r="Z26" s="14">
        <f t="shared" si="11"/>
        <v>13.812154696132604</v>
      </c>
      <c r="AA26" s="15">
        <f t="shared" si="12"/>
        <v>14.792372126180727</v>
      </c>
      <c r="AC26" s="3">
        <v>0.79166666666666663</v>
      </c>
      <c r="AD26" s="14">
        <f t="shared" si="13"/>
        <v>5.8850175250995109</v>
      </c>
      <c r="AE26" s="14">
        <f t="shared" si="14"/>
        <v>4.7711340818630106</v>
      </c>
      <c r="AF26" s="14">
        <f t="shared" si="15"/>
        <v>4.6597457375393594</v>
      </c>
      <c r="AG26" s="14">
        <f t="shared" si="16"/>
        <v>5.2166874591576091</v>
      </c>
      <c r="AH26" s="14">
        <f t="shared" si="17"/>
        <v>4.1028040159211097</v>
      </c>
      <c r="AI26" s="14">
        <f t="shared" si="18"/>
        <v>2.8775322283609586</v>
      </c>
      <c r="AJ26" s="15">
        <f t="shared" si="19"/>
        <v>3.0817441929543179</v>
      </c>
      <c r="AL26" s="3">
        <v>0.79166666666666663</v>
      </c>
      <c r="AM26" s="22">
        <f>Roster!G$59+Roster!G$60+Roster!G$61</f>
        <v>15</v>
      </c>
      <c r="AN26" s="22">
        <f>Roster!H$59+Roster!H$60+Roster!H$61</f>
        <v>15</v>
      </c>
      <c r="AO26" s="22">
        <f>Roster!I$59+Roster!I$60+Roster!I$61</f>
        <v>18</v>
      </c>
      <c r="AP26" s="22">
        <f>Roster!J$59+Roster!J$60+Roster!J$61</f>
        <v>11</v>
      </c>
      <c r="AQ26" s="22">
        <f>Roster!K$59+Roster!K$60+Roster!K$61</f>
        <v>11</v>
      </c>
      <c r="AR26" s="22">
        <f>Roster!L$59+Roster!L$60+Roster!L$61</f>
        <v>12</v>
      </c>
      <c r="AS26" s="48">
        <f>Roster!M$59+Roster!M$60+Roster!M$61</f>
        <v>12</v>
      </c>
      <c r="AU26" s="3">
        <v>0.79166666666666663</v>
      </c>
      <c r="AV26" s="14">
        <f t="shared" si="20"/>
        <v>10.199999999999999</v>
      </c>
      <c r="AW26" s="14">
        <f t="shared" si="21"/>
        <v>10.199999999999999</v>
      </c>
      <c r="AX26" s="14">
        <f t="shared" si="22"/>
        <v>12.239999999999998</v>
      </c>
      <c r="AY26" s="14">
        <f t="shared" si="23"/>
        <v>7.4799999999999995</v>
      </c>
      <c r="AZ26" s="14">
        <f t="shared" si="24"/>
        <v>7.4799999999999995</v>
      </c>
      <c r="BA26" s="14">
        <f t="shared" si="25"/>
        <v>8.16</v>
      </c>
      <c r="BB26" s="15">
        <f t="shared" si="26"/>
        <v>8.16</v>
      </c>
      <c r="BD26" s="3">
        <v>0.79166666666666663</v>
      </c>
      <c r="BE26" s="14">
        <f t="shared" si="27"/>
        <v>48.96</v>
      </c>
      <c r="BF26" s="14">
        <f t="shared" si="28"/>
        <v>48.96</v>
      </c>
      <c r="BG26" s="14">
        <f t="shared" si="29"/>
        <v>58.751999999999995</v>
      </c>
      <c r="BH26" s="14">
        <f t="shared" si="30"/>
        <v>35.904000000000003</v>
      </c>
      <c r="BI26" s="14">
        <f t="shared" si="31"/>
        <v>35.904000000000003</v>
      </c>
      <c r="BJ26" s="14">
        <f t="shared" si="32"/>
        <v>39.168000000000006</v>
      </c>
      <c r="BK26" s="15">
        <f t="shared" si="33"/>
        <v>39.168000000000006</v>
      </c>
      <c r="BM26" s="3">
        <v>0.79166666666666663</v>
      </c>
      <c r="BN26" s="14">
        <f t="shared" si="34"/>
        <v>4.3149824749004884</v>
      </c>
      <c r="BO26" s="14">
        <f t="shared" si="35"/>
        <v>5.4288659181369887</v>
      </c>
      <c r="BP26" s="14">
        <f t="shared" si="36"/>
        <v>7.580254262460639</v>
      </c>
      <c r="BQ26" s="14">
        <f t="shared" si="37"/>
        <v>2.2633125408423904</v>
      </c>
      <c r="BR26" s="14">
        <f t="shared" si="38"/>
        <v>3.3771959840788899</v>
      </c>
      <c r="BS26" s="14">
        <f t="shared" si="39"/>
        <v>5.2824677716390411</v>
      </c>
      <c r="BT26" s="15">
        <f t="shared" si="40"/>
        <v>5.0782558070456822</v>
      </c>
      <c r="BV26" s="3">
        <v>0.79166666666666663</v>
      </c>
      <c r="BW26" s="14">
        <f t="shared" si="41"/>
        <v>20.711915879522351</v>
      </c>
      <c r="BX26" s="14">
        <f t="shared" si="42"/>
        <v>26.058556407057551</v>
      </c>
      <c r="BY26" s="14">
        <f t="shared" si="43"/>
        <v>36.385220459811066</v>
      </c>
      <c r="BZ26" s="14">
        <f t="shared" si="44"/>
        <v>10.863900196043478</v>
      </c>
      <c r="CA26" s="14">
        <f t="shared" si="45"/>
        <v>16.210540723578678</v>
      </c>
      <c r="CB26" s="14">
        <f t="shared" si="46"/>
        <v>25.355845303867405</v>
      </c>
      <c r="CC26" s="15">
        <f t="shared" si="47"/>
        <v>24.37562787381928</v>
      </c>
    </row>
    <row r="27" spans="2:81" ht="15" thickBot="1" x14ac:dyDescent="0.35">
      <c r="B27" s="3">
        <v>0.8125</v>
      </c>
      <c r="C27" s="14">
        <v>43.833333333333336</v>
      </c>
      <c r="D27" s="14">
        <v>41.833333333333336</v>
      </c>
      <c r="E27" s="14">
        <v>43.833333333333336</v>
      </c>
      <c r="F27" s="14">
        <v>37.833333333333336</v>
      </c>
      <c r="G27" s="14">
        <v>32.833333333333336</v>
      </c>
      <c r="H27" s="14">
        <v>25.833333333333332</v>
      </c>
      <c r="I27" s="15">
        <v>27.666666666666668</v>
      </c>
      <c r="K27" s="3">
        <v>0.8125</v>
      </c>
      <c r="L27" s="17">
        <v>2.1942265976973147E-2</v>
      </c>
      <c r="M27" s="17">
        <v>2.2968521229868238E-2</v>
      </c>
      <c r="N27" s="17">
        <v>2.4471945659253758E-2</v>
      </c>
      <c r="O27" s="17">
        <v>2.0850555708643345E-2</v>
      </c>
      <c r="P27" s="17">
        <v>2.046115496468634E-2</v>
      </c>
      <c r="Q27" s="17">
        <v>2.181255277230509E-2</v>
      </c>
      <c r="R27" s="18">
        <v>2.7438016528925635E-2</v>
      </c>
      <c r="T27" s="3">
        <v>0.8125</v>
      </c>
      <c r="U27" s="14">
        <f t="shared" si="6"/>
        <v>23.436107645695966</v>
      </c>
      <c r="V27" s="14">
        <f t="shared" si="7"/>
        <v>22.366779540188926</v>
      </c>
      <c r="W27" s="14">
        <f t="shared" si="8"/>
        <v>23.436107645695966</v>
      </c>
      <c r="X27" s="14">
        <f t="shared" si="9"/>
        <v>20.228123329174846</v>
      </c>
      <c r="Y27" s="14">
        <f t="shared" si="10"/>
        <v>17.554803065407246</v>
      </c>
      <c r="Z27" s="14">
        <f t="shared" si="11"/>
        <v>13.812154696132604</v>
      </c>
      <c r="AA27" s="15">
        <f t="shared" si="12"/>
        <v>14.792372126180727</v>
      </c>
      <c r="AC27" s="3">
        <v>0.8125</v>
      </c>
      <c r="AD27" s="14">
        <f t="shared" si="13"/>
        <v>4.8825224261866591</v>
      </c>
      <c r="AE27" s="14">
        <f t="shared" si="14"/>
        <v>4.6597457375393594</v>
      </c>
      <c r="AF27" s="14">
        <f t="shared" si="15"/>
        <v>4.8825224261866591</v>
      </c>
      <c r="AG27" s="14">
        <f t="shared" si="16"/>
        <v>4.2141923602447591</v>
      </c>
      <c r="AH27" s="14">
        <f t="shared" si="17"/>
        <v>3.6572506386265098</v>
      </c>
      <c r="AI27" s="14">
        <f t="shared" si="18"/>
        <v>2.8775322283609586</v>
      </c>
      <c r="AJ27" s="15">
        <f t="shared" si="19"/>
        <v>3.0817441929543179</v>
      </c>
      <c r="AL27" s="3">
        <v>0.8125</v>
      </c>
      <c r="AM27" s="22">
        <f>Roster!G$59+Roster!G$60+Roster!G$61</f>
        <v>15</v>
      </c>
      <c r="AN27" s="22">
        <f>Roster!H$59+Roster!H$60+Roster!H$61</f>
        <v>15</v>
      </c>
      <c r="AO27" s="22">
        <f>Roster!I$59+Roster!I$60+Roster!I$61</f>
        <v>18</v>
      </c>
      <c r="AP27" s="22">
        <f>Roster!J$59+Roster!J$60+Roster!J$61</f>
        <v>11</v>
      </c>
      <c r="AQ27" s="22">
        <f>Roster!K$59+Roster!K$60+Roster!K$61</f>
        <v>11</v>
      </c>
      <c r="AR27" s="22">
        <f>Roster!L$59+Roster!L$60+Roster!L$61</f>
        <v>12</v>
      </c>
      <c r="AS27" s="48">
        <f>Roster!M$59+Roster!M$60+Roster!M$61</f>
        <v>12</v>
      </c>
      <c r="AU27" s="3">
        <v>0.8125</v>
      </c>
      <c r="AV27" s="14">
        <f t="shared" si="20"/>
        <v>10.199999999999999</v>
      </c>
      <c r="AW27" s="14">
        <f t="shared" si="21"/>
        <v>10.199999999999999</v>
      </c>
      <c r="AX27" s="14">
        <f t="shared" si="22"/>
        <v>12.239999999999998</v>
      </c>
      <c r="AY27" s="14">
        <f t="shared" si="23"/>
        <v>7.4799999999999995</v>
      </c>
      <c r="AZ27" s="14">
        <f t="shared" si="24"/>
        <v>7.4799999999999995</v>
      </c>
      <c r="BA27" s="14">
        <f t="shared" si="25"/>
        <v>8.16</v>
      </c>
      <c r="BB27" s="15">
        <f t="shared" si="26"/>
        <v>8.16</v>
      </c>
      <c r="BD27" s="3">
        <v>0.8125</v>
      </c>
      <c r="BE27" s="14">
        <f t="shared" si="27"/>
        <v>48.96</v>
      </c>
      <c r="BF27" s="14">
        <f t="shared" si="28"/>
        <v>48.96</v>
      </c>
      <c r="BG27" s="14">
        <f t="shared" si="29"/>
        <v>58.751999999999995</v>
      </c>
      <c r="BH27" s="14">
        <f t="shared" si="30"/>
        <v>35.904000000000003</v>
      </c>
      <c r="BI27" s="14">
        <f t="shared" si="31"/>
        <v>35.904000000000003</v>
      </c>
      <c r="BJ27" s="14">
        <f t="shared" si="32"/>
        <v>39.168000000000006</v>
      </c>
      <c r="BK27" s="15">
        <f t="shared" si="33"/>
        <v>39.168000000000006</v>
      </c>
      <c r="BM27" s="3">
        <v>0.8125</v>
      </c>
      <c r="BN27" s="14">
        <f t="shared" si="34"/>
        <v>5.3174775738133402</v>
      </c>
      <c r="BO27" s="14">
        <f t="shared" si="35"/>
        <v>5.5402542624606399</v>
      </c>
      <c r="BP27" s="14">
        <f t="shared" si="36"/>
        <v>7.3574775738133393</v>
      </c>
      <c r="BQ27" s="14">
        <f t="shared" si="37"/>
        <v>3.2658076397552405</v>
      </c>
      <c r="BR27" s="14">
        <f t="shared" si="38"/>
        <v>3.8227493613734898</v>
      </c>
      <c r="BS27" s="14">
        <f t="shared" si="39"/>
        <v>5.2824677716390411</v>
      </c>
      <c r="BT27" s="15">
        <f t="shared" si="40"/>
        <v>5.0782558070456822</v>
      </c>
      <c r="BV27" s="3">
        <v>0.8125</v>
      </c>
      <c r="BW27" s="14">
        <f t="shared" si="41"/>
        <v>25.523892354304035</v>
      </c>
      <c r="BX27" s="14">
        <f t="shared" si="42"/>
        <v>26.593220459811075</v>
      </c>
      <c r="BY27" s="14">
        <f t="shared" si="43"/>
        <v>35.315892354304026</v>
      </c>
      <c r="BZ27" s="14">
        <f t="shared" si="44"/>
        <v>15.675876670825158</v>
      </c>
      <c r="CA27" s="14">
        <f t="shared" si="45"/>
        <v>18.349196934592758</v>
      </c>
      <c r="CB27" s="14">
        <f t="shared" si="46"/>
        <v>25.355845303867405</v>
      </c>
      <c r="CC27" s="15">
        <f t="shared" si="47"/>
        <v>24.37562787381928</v>
      </c>
    </row>
    <row r="28" spans="2:81" ht="15" thickBot="1" x14ac:dyDescent="0.35">
      <c r="B28" s="3">
        <v>0.83333333333333337</v>
      </c>
      <c r="C28" s="14">
        <v>41.833333333333336</v>
      </c>
      <c r="D28" s="14">
        <v>37.833333333333336</v>
      </c>
      <c r="E28" s="14">
        <v>39.833333333333336</v>
      </c>
      <c r="F28" s="14">
        <v>38.833333333333336</v>
      </c>
      <c r="G28" s="14">
        <v>36.833333333333336</v>
      </c>
      <c r="H28" s="14">
        <v>29.833333333333332</v>
      </c>
      <c r="I28" s="15">
        <v>28.666666666666668</v>
      </c>
      <c r="K28" s="3">
        <v>0.83333333333333337</v>
      </c>
      <c r="L28" s="17">
        <v>2.0941097947605552E-2</v>
      </c>
      <c r="M28" s="17">
        <v>2.0772327964860917E-2</v>
      </c>
      <c r="N28" s="17">
        <v>2.2238764306318055E-2</v>
      </c>
      <c r="O28" s="17">
        <v>2.1401671718563435E-2</v>
      </c>
      <c r="P28" s="17">
        <v>2.2953884503531377E-2</v>
      </c>
      <c r="Q28" s="17">
        <v>2.5189980298339427E-2</v>
      </c>
      <c r="R28" s="18">
        <v>2.842975206611572E-2</v>
      </c>
      <c r="T28" s="3">
        <v>0.83333333333333337</v>
      </c>
      <c r="U28" s="14">
        <f t="shared" si="6"/>
        <v>22.366779540188926</v>
      </c>
      <c r="V28" s="14">
        <f t="shared" si="7"/>
        <v>20.228123329174846</v>
      </c>
      <c r="W28" s="14">
        <f t="shared" si="8"/>
        <v>21.297451434681886</v>
      </c>
      <c r="X28" s="14">
        <f t="shared" si="9"/>
        <v>20.762787381928369</v>
      </c>
      <c r="Y28" s="14">
        <f t="shared" si="10"/>
        <v>19.693459276421326</v>
      </c>
      <c r="Z28" s="14">
        <f t="shared" si="11"/>
        <v>15.950810907146684</v>
      </c>
      <c r="AA28" s="15">
        <f t="shared" si="12"/>
        <v>15.327036178934247</v>
      </c>
      <c r="AC28" s="3">
        <v>0.83333333333333337</v>
      </c>
      <c r="AD28" s="14">
        <f t="shared" si="13"/>
        <v>4.6597457375393594</v>
      </c>
      <c r="AE28" s="14">
        <f t="shared" si="14"/>
        <v>4.2141923602447591</v>
      </c>
      <c r="AF28" s="14">
        <f t="shared" si="15"/>
        <v>4.4369690488920597</v>
      </c>
      <c r="AG28" s="14">
        <f t="shared" si="16"/>
        <v>4.3255807045684103</v>
      </c>
      <c r="AH28" s="14">
        <f t="shared" si="17"/>
        <v>4.1028040159211097</v>
      </c>
      <c r="AI28" s="14">
        <f t="shared" si="18"/>
        <v>3.3230856056555593</v>
      </c>
      <c r="AJ28" s="15">
        <f t="shared" si="19"/>
        <v>3.1931325372779682</v>
      </c>
      <c r="AL28" s="3">
        <v>0.83333333333333337</v>
      </c>
      <c r="AM28" s="22">
        <f>Roster!G$59+Roster!G$60+Roster!G$61</f>
        <v>15</v>
      </c>
      <c r="AN28" s="22">
        <f>Roster!H$59+Roster!H$60+Roster!H$61</f>
        <v>15</v>
      </c>
      <c r="AO28" s="22">
        <f>Roster!I$59+Roster!I$60+Roster!I$61</f>
        <v>18</v>
      </c>
      <c r="AP28" s="22">
        <f>Roster!J$59+Roster!J$60+Roster!J$61</f>
        <v>11</v>
      </c>
      <c r="AQ28" s="22">
        <f>Roster!K$59+Roster!K$60+Roster!K$61</f>
        <v>11</v>
      </c>
      <c r="AR28" s="22">
        <f>Roster!L$59+Roster!L$60+Roster!L$61</f>
        <v>12</v>
      </c>
      <c r="AS28" s="48">
        <f>Roster!M$59+Roster!M$60+Roster!M$61</f>
        <v>12</v>
      </c>
      <c r="AU28" s="3">
        <v>0.83333333333333337</v>
      </c>
      <c r="AV28" s="14">
        <f t="shared" si="20"/>
        <v>10.199999999999999</v>
      </c>
      <c r="AW28" s="14">
        <f t="shared" si="21"/>
        <v>10.199999999999999</v>
      </c>
      <c r="AX28" s="14">
        <f t="shared" si="22"/>
        <v>12.239999999999998</v>
      </c>
      <c r="AY28" s="14">
        <f t="shared" si="23"/>
        <v>7.4799999999999995</v>
      </c>
      <c r="AZ28" s="14">
        <f t="shared" si="24"/>
        <v>7.4799999999999995</v>
      </c>
      <c r="BA28" s="14">
        <f t="shared" si="25"/>
        <v>8.16</v>
      </c>
      <c r="BB28" s="15">
        <f t="shared" si="26"/>
        <v>8.16</v>
      </c>
      <c r="BD28" s="3">
        <v>0.83333333333333337</v>
      </c>
      <c r="BE28" s="14">
        <f t="shared" si="27"/>
        <v>48.96</v>
      </c>
      <c r="BF28" s="14">
        <f t="shared" si="28"/>
        <v>48.96</v>
      </c>
      <c r="BG28" s="14">
        <f t="shared" si="29"/>
        <v>58.751999999999995</v>
      </c>
      <c r="BH28" s="14">
        <f t="shared" si="30"/>
        <v>35.904000000000003</v>
      </c>
      <c r="BI28" s="14">
        <f t="shared" si="31"/>
        <v>35.904000000000003</v>
      </c>
      <c r="BJ28" s="14">
        <f t="shared" si="32"/>
        <v>39.168000000000006</v>
      </c>
      <c r="BK28" s="15">
        <f t="shared" si="33"/>
        <v>39.168000000000006</v>
      </c>
      <c r="BM28" s="3">
        <v>0.83333333333333337</v>
      </c>
      <c r="BN28" s="14">
        <f t="shared" si="34"/>
        <v>5.5402542624606399</v>
      </c>
      <c r="BO28" s="14">
        <f t="shared" si="35"/>
        <v>5.9858076397552402</v>
      </c>
      <c r="BP28" s="14">
        <f t="shared" si="36"/>
        <v>7.8030309511079388</v>
      </c>
      <c r="BQ28" s="14">
        <f t="shared" si="37"/>
        <v>3.1544192954315893</v>
      </c>
      <c r="BR28" s="14">
        <f t="shared" si="38"/>
        <v>3.3771959840788899</v>
      </c>
      <c r="BS28" s="14">
        <f t="shared" si="39"/>
        <v>4.8369143943444408</v>
      </c>
      <c r="BT28" s="15">
        <f t="shared" si="40"/>
        <v>4.9668674627220319</v>
      </c>
      <c r="BV28" s="3">
        <v>0.83333333333333337</v>
      </c>
      <c r="BW28" s="14">
        <f t="shared" si="41"/>
        <v>26.593220459811075</v>
      </c>
      <c r="BX28" s="14">
        <f t="shared" si="42"/>
        <v>28.731876670825155</v>
      </c>
      <c r="BY28" s="14">
        <f t="shared" si="43"/>
        <v>37.454548565318106</v>
      </c>
      <c r="BZ28" s="14">
        <f t="shared" si="44"/>
        <v>15.141212618071634</v>
      </c>
      <c r="CA28" s="14">
        <f t="shared" si="45"/>
        <v>16.210540723578678</v>
      </c>
      <c r="CB28" s="14">
        <f t="shared" si="46"/>
        <v>23.217189092853324</v>
      </c>
      <c r="CC28" s="15">
        <f t="shared" si="47"/>
        <v>23.84096382106576</v>
      </c>
    </row>
    <row r="29" spans="2:81" ht="15" thickBot="1" x14ac:dyDescent="0.35">
      <c r="B29" s="3">
        <v>0.85416666666666663</v>
      </c>
      <c r="C29" s="14">
        <v>38.833333333333336</v>
      </c>
      <c r="D29" s="14">
        <v>36.833333333333336</v>
      </c>
      <c r="E29" s="14">
        <v>40.833333333333336</v>
      </c>
      <c r="F29" s="14">
        <v>36.833333333333336</v>
      </c>
      <c r="G29" s="14">
        <v>33.833333333333336</v>
      </c>
      <c r="H29" s="14">
        <v>28.833333333333332</v>
      </c>
      <c r="I29" s="15">
        <v>21.666666666666668</v>
      </c>
      <c r="K29" s="3">
        <v>0.85416666666666663</v>
      </c>
      <c r="L29" s="17">
        <v>1.9439345903554159E-2</v>
      </c>
      <c r="M29" s="17">
        <v>2.0223279648609087E-2</v>
      </c>
      <c r="N29" s="17">
        <v>2.2797059644551979E-2</v>
      </c>
      <c r="O29" s="17">
        <v>2.0299439698723255E-2</v>
      </c>
      <c r="P29" s="17">
        <v>2.1084337349397599E-2</v>
      </c>
      <c r="Q29" s="17">
        <v>2.4345623416830844E-2</v>
      </c>
      <c r="R29" s="18">
        <v>2.1487603305785138E-2</v>
      </c>
      <c r="T29" s="3">
        <v>0.85416666666666663</v>
      </c>
      <c r="U29" s="14">
        <f t="shared" si="6"/>
        <v>20.762787381928369</v>
      </c>
      <c r="V29" s="14">
        <f t="shared" si="7"/>
        <v>19.693459276421326</v>
      </c>
      <c r="W29" s="14">
        <f t="shared" si="8"/>
        <v>21.832115487435406</v>
      </c>
      <c r="X29" s="14">
        <f t="shared" si="9"/>
        <v>19.693459276421326</v>
      </c>
      <c r="Y29" s="14">
        <f t="shared" si="10"/>
        <v>18.089467118160766</v>
      </c>
      <c r="Z29" s="14">
        <f t="shared" si="11"/>
        <v>15.416146854393165</v>
      </c>
      <c r="AA29" s="15">
        <f t="shared" si="12"/>
        <v>11.584387809659606</v>
      </c>
      <c r="AC29" s="3">
        <v>0.85416666666666663</v>
      </c>
      <c r="AD29" s="14">
        <f t="shared" si="13"/>
        <v>4.3255807045684103</v>
      </c>
      <c r="AE29" s="14">
        <f t="shared" si="14"/>
        <v>4.1028040159211097</v>
      </c>
      <c r="AF29" s="14">
        <f t="shared" si="15"/>
        <v>4.54835739321571</v>
      </c>
      <c r="AG29" s="14">
        <f t="shared" si="16"/>
        <v>4.1028040159211097</v>
      </c>
      <c r="AH29" s="14">
        <f t="shared" si="17"/>
        <v>3.7686389829501592</v>
      </c>
      <c r="AI29" s="14">
        <f t="shared" si="18"/>
        <v>3.211697261331909</v>
      </c>
      <c r="AJ29" s="15">
        <f t="shared" si="19"/>
        <v>2.4134141270124179</v>
      </c>
      <c r="AL29" s="3">
        <v>0.85416666666666663</v>
      </c>
      <c r="AM29" s="22">
        <f>Roster!G$59+Roster!G$60+Roster!G$61</f>
        <v>15</v>
      </c>
      <c r="AN29" s="22">
        <f>Roster!H$59+Roster!H$60+Roster!H$61</f>
        <v>15</v>
      </c>
      <c r="AO29" s="22">
        <f>Roster!I$59+Roster!I$60+Roster!I$61</f>
        <v>18</v>
      </c>
      <c r="AP29" s="22">
        <f>Roster!J$59+Roster!J$60+Roster!J$61</f>
        <v>11</v>
      </c>
      <c r="AQ29" s="22">
        <f>Roster!K$59+Roster!K$60+Roster!K$61</f>
        <v>11</v>
      </c>
      <c r="AR29" s="22">
        <f>Roster!L$59+Roster!L$60+Roster!L$61</f>
        <v>12</v>
      </c>
      <c r="AS29" s="48">
        <f>Roster!M$59+Roster!M$60+Roster!M$61</f>
        <v>12</v>
      </c>
      <c r="AU29" s="3">
        <v>0.85416666666666663</v>
      </c>
      <c r="AV29" s="14">
        <f t="shared" si="20"/>
        <v>10.199999999999999</v>
      </c>
      <c r="AW29" s="14">
        <f t="shared" si="21"/>
        <v>10.199999999999999</v>
      </c>
      <c r="AX29" s="14">
        <f t="shared" si="22"/>
        <v>12.239999999999998</v>
      </c>
      <c r="AY29" s="14">
        <f t="shared" si="23"/>
        <v>7.4799999999999995</v>
      </c>
      <c r="AZ29" s="14">
        <f t="shared" si="24"/>
        <v>7.4799999999999995</v>
      </c>
      <c r="BA29" s="14">
        <f t="shared" si="25"/>
        <v>8.16</v>
      </c>
      <c r="BB29" s="15">
        <f t="shared" si="26"/>
        <v>8.16</v>
      </c>
      <c r="BD29" s="3">
        <v>0.85416666666666663</v>
      </c>
      <c r="BE29" s="14">
        <f t="shared" si="27"/>
        <v>48.96</v>
      </c>
      <c r="BF29" s="14">
        <f t="shared" si="28"/>
        <v>48.96</v>
      </c>
      <c r="BG29" s="14">
        <f t="shared" si="29"/>
        <v>58.751999999999995</v>
      </c>
      <c r="BH29" s="14">
        <f t="shared" si="30"/>
        <v>35.904000000000003</v>
      </c>
      <c r="BI29" s="14">
        <f t="shared" si="31"/>
        <v>35.904000000000003</v>
      </c>
      <c r="BJ29" s="14">
        <f t="shared" si="32"/>
        <v>39.168000000000006</v>
      </c>
      <c r="BK29" s="15">
        <f t="shared" si="33"/>
        <v>39.168000000000006</v>
      </c>
      <c r="BM29" s="3">
        <v>0.85416666666666663</v>
      </c>
      <c r="BN29" s="14">
        <f t="shared" si="34"/>
        <v>5.874419295431589</v>
      </c>
      <c r="BO29" s="14">
        <f t="shared" si="35"/>
        <v>6.0971959840788896</v>
      </c>
      <c r="BP29" s="14">
        <f t="shared" si="36"/>
        <v>7.6916426067842885</v>
      </c>
      <c r="BQ29" s="14">
        <f t="shared" si="37"/>
        <v>3.3771959840788899</v>
      </c>
      <c r="BR29" s="14">
        <f t="shared" si="38"/>
        <v>3.7113610170498403</v>
      </c>
      <c r="BS29" s="14">
        <f t="shared" si="39"/>
        <v>4.9483027386680911</v>
      </c>
      <c r="BT29" s="15">
        <f t="shared" si="40"/>
        <v>5.7465858729875823</v>
      </c>
      <c r="BV29" s="3">
        <v>0.85416666666666663</v>
      </c>
      <c r="BW29" s="14">
        <f t="shared" si="41"/>
        <v>28.197212618071632</v>
      </c>
      <c r="BX29" s="14">
        <f t="shared" si="42"/>
        <v>29.266540723578675</v>
      </c>
      <c r="BY29" s="14">
        <f t="shared" si="43"/>
        <v>36.919884512564593</v>
      </c>
      <c r="BZ29" s="14">
        <f t="shared" si="44"/>
        <v>16.210540723578678</v>
      </c>
      <c r="CA29" s="14">
        <f t="shared" si="45"/>
        <v>17.814532881839238</v>
      </c>
      <c r="CB29" s="14">
        <f t="shared" si="46"/>
        <v>23.751853145606841</v>
      </c>
      <c r="CC29" s="15">
        <f t="shared" si="47"/>
        <v>27.5836121903404</v>
      </c>
    </row>
    <row r="30" spans="2:81" ht="15" thickBot="1" x14ac:dyDescent="0.35">
      <c r="B30" s="3">
        <v>0.875</v>
      </c>
      <c r="C30" s="14">
        <v>41.833333333333336</v>
      </c>
      <c r="D30" s="14">
        <v>33.833333333333336</v>
      </c>
      <c r="E30" s="14">
        <v>39.833333333333336</v>
      </c>
      <c r="F30" s="14">
        <v>35.833333333333336</v>
      </c>
      <c r="G30" s="14">
        <v>27.833333333333332</v>
      </c>
      <c r="H30" s="14">
        <v>24.833333333333332</v>
      </c>
      <c r="I30" s="15">
        <v>23.666666666666668</v>
      </c>
      <c r="K30" s="3">
        <v>0.875</v>
      </c>
      <c r="L30" s="17">
        <v>2.0941097947605552E-2</v>
      </c>
      <c r="M30" s="17">
        <v>1.8576134699853596E-2</v>
      </c>
      <c r="N30" s="17">
        <v>2.2238764306318055E-2</v>
      </c>
      <c r="O30" s="17">
        <v>1.9748323688803169E-2</v>
      </c>
      <c r="P30" s="17">
        <v>1.7345243041130044E-2</v>
      </c>
      <c r="Q30" s="17">
        <v>2.0968195890796508E-2</v>
      </c>
      <c r="R30" s="18">
        <v>2.3471074380165304E-2</v>
      </c>
      <c r="T30" s="3">
        <v>0.875</v>
      </c>
      <c r="U30" s="14">
        <f t="shared" si="6"/>
        <v>22.366779540188926</v>
      </c>
      <c r="V30" s="14">
        <f t="shared" si="7"/>
        <v>18.089467118160766</v>
      </c>
      <c r="W30" s="14">
        <f t="shared" si="8"/>
        <v>21.297451434681886</v>
      </c>
      <c r="X30" s="14">
        <f t="shared" si="9"/>
        <v>19.158795223667806</v>
      </c>
      <c r="Y30" s="14">
        <f t="shared" si="10"/>
        <v>14.881482801639644</v>
      </c>
      <c r="Z30" s="14">
        <f t="shared" si="11"/>
        <v>13.277490643379084</v>
      </c>
      <c r="AA30" s="15">
        <f t="shared" si="12"/>
        <v>12.653715915166647</v>
      </c>
      <c r="AC30" s="3">
        <v>0.875</v>
      </c>
      <c r="AD30" s="14">
        <f t="shared" si="13"/>
        <v>4.6597457375393594</v>
      </c>
      <c r="AE30" s="14">
        <f t="shared" si="14"/>
        <v>3.7686389829501592</v>
      </c>
      <c r="AF30" s="14">
        <f t="shared" si="15"/>
        <v>4.4369690488920597</v>
      </c>
      <c r="AG30" s="14">
        <f t="shared" si="16"/>
        <v>3.9914156715974594</v>
      </c>
      <c r="AH30" s="14">
        <f t="shared" si="17"/>
        <v>3.1003089170082592</v>
      </c>
      <c r="AI30" s="14">
        <f t="shared" si="18"/>
        <v>2.7661438840373092</v>
      </c>
      <c r="AJ30" s="15">
        <f t="shared" si="19"/>
        <v>2.636190815659718</v>
      </c>
      <c r="AL30" s="3">
        <v>0.875</v>
      </c>
      <c r="AM30" s="22">
        <f>Roster!G$60+Roster!G$61</f>
        <v>7</v>
      </c>
      <c r="AN30" s="22">
        <f>Roster!H$60+Roster!H$61</f>
        <v>7</v>
      </c>
      <c r="AO30" s="22">
        <f>Roster!I$60+Roster!I$61</f>
        <v>10</v>
      </c>
      <c r="AP30" s="22">
        <f>Roster!J$60+Roster!J$61</f>
        <v>6</v>
      </c>
      <c r="AQ30" s="22">
        <f>Roster!K$60+Roster!K$61</f>
        <v>6</v>
      </c>
      <c r="AR30" s="22">
        <f>Roster!L$60+Roster!L$61</f>
        <v>9</v>
      </c>
      <c r="AS30" s="48">
        <f>Roster!M$60+Roster!M$61</f>
        <v>9</v>
      </c>
      <c r="AU30" s="3">
        <v>0.875</v>
      </c>
      <c r="AV30" s="14">
        <f t="shared" si="20"/>
        <v>4.76</v>
      </c>
      <c r="AW30" s="14">
        <f t="shared" si="21"/>
        <v>4.76</v>
      </c>
      <c r="AX30" s="14">
        <f t="shared" si="22"/>
        <v>6.7999999999999989</v>
      </c>
      <c r="AY30" s="14">
        <f t="shared" si="23"/>
        <v>4.08</v>
      </c>
      <c r="AZ30" s="14">
        <f t="shared" si="24"/>
        <v>4.08</v>
      </c>
      <c r="BA30" s="14">
        <f t="shared" si="25"/>
        <v>6.1199999999999992</v>
      </c>
      <c r="BB30" s="15">
        <f t="shared" si="26"/>
        <v>6.1199999999999992</v>
      </c>
      <c r="BD30" s="3">
        <v>0.875</v>
      </c>
      <c r="BE30" s="14">
        <f t="shared" si="27"/>
        <v>22.848000000000003</v>
      </c>
      <c r="BF30" s="14">
        <f t="shared" si="28"/>
        <v>22.848000000000003</v>
      </c>
      <c r="BG30" s="14">
        <f t="shared" si="29"/>
        <v>32.639999999999993</v>
      </c>
      <c r="BH30" s="14">
        <f t="shared" si="30"/>
        <v>19.584000000000003</v>
      </c>
      <c r="BI30" s="14">
        <f t="shared" si="31"/>
        <v>19.584000000000003</v>
      </c>
      <c r="BJ30" s="14">
        <f t="shared" si="32"/>
        <v>29.375999999999998</v>
      </c>
      <c r="BK30" s="15">
        <f t="shared" si="33"/>
        <v>29.375999999999998</v>
      </c>
      <c r="BM30" s="3">
        <v>0.875</v>
      </c>
      <c r="BN30" s="14">
        <f t="shared" si="34"/>
        <v>0.1002542624606404</v>
      </c>
      <c r="BO30" s="14">
        <f t="shared" si="35"/>
        <v>0.99136101704984059</v>
      </c>
      <c r="BP30" s="14">
        <f t="shared" si="36"/>
        <v>2.3630309511079393</v>
      </c>
      <c r="BQ30" s="14">
        <f t="shared" si="37"/>
        <v>8.8584328402540713E-2</v>
      </c>
      <c r="BR30" s="14">
        <f t="shared" si="38"/>
        <v>0.9796910829917409</v>
      </c>
      <c r="BS30" s="14">
        <f t="shared" si="39"/>
        <v>3.3538561159626901</v>
      </c>
      <c r="BT30" s="15">
        <f t="shared" si="40"/>
        <v>3.4838091843402812</v>
      </c>
      <c r="BV30" s="3">
        <v>0.875</v>
      </c>
      <c r="BW30" s="14">
        <f t="shared" si="41"/>
        <v>0.48122045981107675</v>
      </c>
      <c r="BX30" s="14">
        <f t="shared" si="42"/>
        <v>4.7585328818392369</v>
      </c>
      <c r="BY30" s="14">
        <f t="shared" si="43"/>
        <v>11.342548565318108</v>
      </c>
      <c r="BZ30" s="14">
        <f t="shared" si="44"/>
        <v>0.42520477633219755</v>
      </c>
      <c r="CA30" s="14">
        <f t="shared" si="45"/>
        <v>4.7025171983603595</v>
      </c>
      <c r="CB30" s="14">
        <f t="shared" si="46"/>
        <v>16.098509356620916</v>
      </c>
      <c r="CC30" s="15">
        <f t="shared" si="47"/>
        <v>16.722284084833351</v>
      </c>
    </row>
    <row r="31" spans="2:81" ht="15" thickBot="1" x14ac:dyDescent="0.35">
      <c r="B31" s="3">
        <v>0.89583333333333337</v>
      </c>
      <c r="C31" s="14">
        <v>35.833333333333336</v>
      </c>
      <c r="D31" s="14">
        <v>34.833333333333336</v>
      </c>
      <c r="E31" s="14">
        <v>37.833333333333336</v>
      </c>
      <c r="F31" s="14">
        <v>34.833333333333336</v>
      </c>
      <c r="G31" s="14">
        <v>26.833333333333332</v>
      </c>
      <c r="H31" s="14">
        <v>20.833333333333332</v>
      </c>
      <c r="I31" s="15">
        <v>25.666666666666668</v>
      </c>
      <c r="K31" s="3">
        <v>0.89583333333333337</v>
      </c>
      <c r="L31" s="17">
        <v>1.7937593859502762E-2</v>
      </c>
      <c r="M31" s="17">
        <v>1.9125183016105426E-2</v>
      </c>
      <c r="N31" s="17">
        <v>2.1122173629850201E-2</v>
      </c>
      <c r="O31" s="17">
        <v>1.9197207678883079E-2</v>
      </c>
      <c r="P31" s="17">
        <v>1.6722060656418784E-2</v>
      </c>
      <c r="Q31" s="17">
        <v>1.7590768364762168E-2</v>
      </c>
      <c r="R31" s="18">
        <v>2.5454545454545469E-2</v>
      </c>
      <c r="T31" s="3">
        <v>0.89583333333333337</v>
      </c>
      <c r="U31" s="14">
        <f t="shared" si="6"/>
        <v>19.158795223667806</v>
      </c>
      <c r="V31" s="14">
        <f t="shared" si="7"/>
        <v>18.624131170914286</v>
      </c>
      <c r="W31" s="14">
        <f t="shared" si="8"/>
        <v>20.228123329174846</v>
      </c>
      <c r="X31" s="14">
        <f t="shared" si="9"/>
        <v>18.624131170914286</v>
      </c>
      <c r="Y31" s="14">
        <f t="shared" si="10"/>
        <v>14.346818748886122</v>
      </c>
      <c r="Z31" s="14">
        <f t="shared" si="11"/>
        <v>11.138834432365002</v>
      </c>
      <c r="AA31" s="15">
        <f t="shared" si="12"/>
        <v>13.723044020673687</v>
      </c>
      <c r="AC31" s="3">
        <v>0.89583333333333337</v>
      </c>
      <c r="AD31" s="14">
        <f t="shared" si="13"/>
        <v>3.9914156715974594</v>
      </c>
      <c r="AE31" s="14">
        <f t="shared" si="14"/>
        <v>3.8800273272738095</v>
      </c>
      <c r="AF31" s="14">
        <f t="shared" si="15"/>
        <v>4.2141923602447591</v>
      </c>
      <c r="AG31" s="14">
        <f t="shared" si="16"/>
        <v>3.8800273272738095</v>
      </c>
      <c r="AH31" s="14">
        <f t="shared" si="17"/>
        <v>2.9889205726846089</v>
      </c>
      <c r="AI31" s="14">
        <f t="shared" si="18"/>
        <v>2.3205905067427088</v>
      </c>
      <c r="AJ31" s="15">
        <f t="shared" si="19"/>
        <v>2.8589675043070182</v>
      </c>
      <c r="AL31" s="3">
        <v>0.89583333333333337</v>
      </c>
      <c r="AM31" s="22">
        <f>Roster!G$60+Roster!G$61</f>
        <v>7</v>
      </c>
      <c r="AN31" s="22">
        <f>Roster!H$60+Roster!H$61</f>
        <v>7</v>
      </c>
      <c r="AO31" s="22">
        <f>Roster!I$60+Roster!I$61</f>
        <v>10</v>
      </c>
      <c r="AP31" s="22">
        <f>Roster!J$60+Roster!J$61</f>
        <v>6</v>
      </c>
      <c r="AQ31" s="22">
        <f>Roster!K$60+Roster!K$61</f>
        <v>6</v>
      </c>
      <c r="AR31" s="22">
        <f>Roster!L$60+Roster!L$61</f>
        <v>9</v>
      </c>
      <c r="AS31" s="48">
        <f>Roster!M$60+Roster!M$61</f>
        <v>9</v>
      </c>
      <c r="AU31" s="3">
        <v>0.89583333333333337</v>
      </c>
      <c r="AV31" s="14">
        <f t="shared" si="20"/>
        <v>4.76</v>
      </c>
      <c r="AW31" s="14">
        <f t="shared" si="21"/>
        <v>4.76</v>
      </c>
      <c r="AX31" s="14">
        <f t="shared" si="22"/>
        <v>6.7999999999999989</v>
      </c>
      <c r="AY31" s="14">
        <f t="shared" si="23"/>
        <v>4.08</v>
      </c>
      <c r="AZ31" s="14">
        <f t="shared" si="24"/>
        <v>4.08</v>
      </c>
      <c r="BA31" s="14">
        <f t="shared" si="25"/>
        <v>6.1199999999999992</v>
      </c>
      <c r="BB31" s="15">
        <f t="shared" si="26"/>
        <v>6.1199999999999992</v>
      </c>
      <c r="BD31" s="3">
        <v>0.89583333333333337</v>
      </c>
      <c r="BE31" s="14">
        <f t="shared" si="27"/>
        <v>22.848000000000003</v>
      </c>
      <c r="BF31" s="14">
        <f t="shared" si="28"/>
        <v>22.848000000000003</v>
      </c>
      <c r="BG31" s="14">
        <f t="shared" si="29"/>
        <v>32.639999999999993</v>
      </c>
      <c r="BH31" s="14">
        <f t="shared" si="30"/>
        <v>19.584000000000003</v>
      </c>
      <c r="BI31" s="14">
        <f t="shared" si="31"/>
        <v>19.584000000000003</v>
      </c>
      <c r="BJ31" s="14">
        <f t="shared" si="32"/>
        <v>29.375999999999998</v>
      </c>
      <c r="BK31" s="15">
        <f t="shared" si="33"/>
        <v>29.375999999999998</v>
      </c>
      <c r="BM31" s="3">
        <v>0.89583333333333337</v>
      </c>
      <c r="BN31" s="14">
        <f t="shared" si="34"/>
        <v>0.76858432840254043</v>
      </c>
      <c r="BO31" s="14">
        <f t="shared" si="35"/>
        <v>0.87997267272619029</v>
      </c>
      <c r="BP31" s="14">
        <f t="shared" si="36"/>
        <v>2.5858076397552399</v>
      </c>
      <c r="BQ31" s="14">
        <f t="shared" si="37"/>
        <v>0.19997267272619057</v>
      </c>
      <c r="BR31" s="14">
        <f t="shared" si="38"/>
        <v>1.0910794273153912</v>
      </c>
      <c r="BS31" s="14">
        <f t="shared" si="39"/>
        <v>3.7994094932572904</v>
      </c>
      <c r="BT31" s="15">
        <f t="shared" si="40"/>
        <v>3.261032495692981</v>
      </c>
      <c r="BV31" s="3">
        <v>0.89583333333333337</v>
      </c>
      <c r="BW31" s="14">
        <f t="shared" si="41"/>
        <v>3.6892047763321969</v>
      </c>
      <c r="BX31" s="14">
        <f t="shared" si="42"/>
        <v>4.2238688290857169</v>
      </c>
      <c r="BY31" s="14">
        <f t="shared" si="43"/>
        <v>12.411876670825148</v>
      </c>
      <c r="BZ31" s="14">
        <f t="shared" si="44"/>
        <v>0.95986882908571758</v>
      </c>
      <c r="CA31" s="14">
        <f t="shared" si="45"/>
        <v>5.2371812511138813</v>
      </c>
      <c r="CB31" s="14">
        <f t="shared" si="46"/>
        <v>18.237165567634996</v>
      </c>
      <c r="CC31" s="15">
        <f t="shared" si="47"/>
        <v>15.652955979326311</v>
      </c>
    </row>
    <row r="32" spans="2:81" ht="15" thickBot="1" x14ac:dyDescent="0.35">
      <c r="B32" s="3">
        <v>0.91666666666666663</v>
      </c>
      <c r="C32" s="14">
        <v>29.833333333333332</v>
      </c>
      <c r="D32" s="14">
        <v>28.833333333333332</v>
      </c>
      <c r="E32" s="14">
        <v>34.833333333333336</v>
      </c>
      <c r="F32" s="14">
        <v>28.833333333333332</v>
      </c>
      <c r="G32" s="14">
        <v>24.833333333333332</v>
      </c>
      <c r="H32" s="14">
        <v>23.833333333333332</v>
      </c>
      <c r="I32" s="15">
        <v>26.666666666666668</v>
      </c>
      <c r="K32" s="3">
        <v>0.91666666666666663</v>
      </c>
      <c r="L32" s="17">
        <v>1.4934089771399974E-2</v>
      </c>
      <c r="M32" s="17">
        <v>1.5830893118594442E-2</v>
      </c>
      <c r="N32" s="17">
        <v>1.9447287615148422E-2</v>
      </c>
      <c r="O32" s="17">
        <v>1.5890511619362547E-2</v>
      </c>
      <c r="P32" s="17">
        <v>1.5475695886996266E-2</v>
      </c>
      <c r="Q32" s="17">
        <v>2.0123839009287922E-2</v>
      </c>
      <c r="R32" s="18">
        <v>2.6446280991735554E-2</v>
      </c>
      <c r="T32" s="3">
        <v>0.91666666666666663</v>
      </c>
      <c r="U32" s="14">
        <f t="shared" si="6"/>
        <v>15.950810907146684</v>
      </c>
      <c r="V32" s="14">
        <f t="shared" si="7"/>
        <v>15.416146854393164</v>
      </c>
      <c r="W32" s="14">
        <f t="shared" si="8"/>
        <v>18.624131170914282</v>
      </c>
      <c r="X32" s="14">
        <f t="shared" si="9"/>
        <v>15.416146854393162</v>
      </c>
      <c r="Y32" s="14">
        <f t="shared" si="10"/>
        <v>13.277490643379082</v>
      </c>
      <c r="Z32" s="14">
        <f t="shared" si="11"/>
        <v>12.742826590625564</v>
      </c>
      <c r="AA32" s="15">
        <f t="shared" si="12"/>
        <v>14.257708073427207</v>
      </c>
      <c r="AC32" s="3">
        <v>0.91666666666666663</v>
      </c>
      <c r="AD32" s="14">
        <f t="shared" si="13"/>
        <v>3.3230856056555593</v>
      </c>
      <c r="AE32" s="14">
        <f t="shared" si="14"/>
        <v>3.211697261331909</v>
      </c>
      <c r="AF32" s="14">
        <f t="shared" si="15"/>
        <v>3.8800273272738086</v>
      </c>
      <c r="AG32" s="14">
        <f t="shared" si="16"/>
        <v>3.2116972613319086</v>
      </c>
      <c r="AH32" s="14">
        <f t="shared" si="17"/>
        <v>2.7661438840373087</v>
      </c>
      <c r="AI32" s="14">
        <f t="shared" si="18"/>
        <v>2.6547555397136593</v>
      </c>
      <c r="AJ32" s="15">
        <f t="shared" si="19"/>
        <v>2.9703558486306676</v>
      </c>
      <c r="AL32" s="3">
        <v>0.91666666666666663</v>
      </c>
      <c r="AM32" s="22">
        <f>Roster!G$60+Roster!G$61</f>
        <v>7</v>
      </c>
      <c r="AN32" s="22">
        <f>Roster!H$60+Roster!H$61</f>
        <v>7</v>
      </c>
      <c r="AO32" s="22">
        <f>Roster!I$60+Roster!I$61</f>
        <v>10</v>
      </c>
      <c r="AP32" s="22">
        <f>Roster!J$60+Roster!J$61</f>
        <v>6</v>
      </c>
      <c r="AQ32" s="22">
        <f>Roster!K$60+Roster!K$61</f>
        <v>6</v>
      </c>
      <c r="AR32" s="22">
        <f>Roster!L$60+Roster!L$61</f>
        <v>9</v>
      </c>
      <c r="AS32" s="48">
        <f>Roster!M$60+Roster!M$61</f>
        <v>9</v>
      </c>
      <c r="AU32" s="3">
        <v>0.91666666666666663</v>
      </c>
      <c r="AV32" s="14">
        <f t="shared" si="20"/>
        <v>4.76</v>
      </c>
      <c r="AW32" s="14">
        <f t="shared" si="21"/>
        <v>4.76</v>
      </c>
      <c r="AX32" s="14">
        <f t="shared" si="22"/>
        <v>6.7999999999999989</v>
      </c>
      <c r="AY32" s="14">
        <f t="shared" si="23"/>
        <v>4.08</v>
      </c>
      <c r="AZ32" s="14">
        <f t="shared" si="24"/>
        <v>4.08</v>
      </c>
      <c r="BA32" s="14">
        <f t="shared" si="25"/>
        <v>6.1199999999999992</v>
      </c>
      <c r="BB32" s="15">
        <f t="shared" si="26"/>
        <v>6.1199999999999992</v>
      </c>
      <c r="BD32" s="3">
        <v>0.91666666666666663</v>
      </c>
      <c r="BE32" s="14">
        <f t="shared" si="27"/>
        <v>22.848000000000003</v>
      </c>
      <c r="BF32" s="14">
        <f t="shared" si="28"/>
        <v>22.848000000000003</v>
      </c>
      <c r="BG32" s="14">
        <f t="shared" si="29"/>
        <v>32.639999999999993</v>
      </c>
      <c r="BH32" s="14">
        <f t="shared" si="30"/>
        <v>19.584000000000003</v>
      </c>
      <c r="BI32" s="14">
        <f t="shared" si="31"/>
        <v>19.584000000000003</v>
      </c>
      <c r="BJ32" s="14">
        <f t="shared" si="32"/>
        <v>29.375999999999998</v>
      </c>
      <c r="BK32" s="15">
        <f t="shared" si="33"/>
        <v>29.375999999999998</v>
      </c>
      <c r="BM32" s="3">
        <v>0.91666666666666663</v>
      </c>
      <c r="BN32" s="14">
        <f t="shared" si="34"/>
        <v>1.4369143943444405</v>
      </c>
      <c r="BO32" s="14">
        <f t="shared" si="35"/>
        <v>1.5483027386680908</v>
      </c>
      <c r="BP32" s="14">
        <f t="shared" si="36"/>
        <v>2.9199726727261903</v>
      </c>
      <c r="BQ32" s="14">
        <f t="shared" si="37"/>
        <v>0.86830273866809149</v>
      </c>
      <c r="BR32" s="14">
        <f t="shared" si="38"/>
        <v>1.3138561159626914</v>
      </c>
      <c r="BS32" s="14">
        <f t="shared" si="39"/>
        <v>3.4652444602863399</v>
      </c>
      <c r="BT32" s="15">
        <f t="shared" si="40"/>
        <v>3.1496441513693316</v>
      </c>
      <c r="BV32" s="3">
        <v>0.91666666666666663</v>
      </c>
      <c r="BW32" s="14">
        <f t="shared" si="41"/>
        <v>6.8971890928533188</v>
      </c>
      <c r="BX32" s="14">
        <f t="shared" si="42"/>
        <v>7.4318531456068389</v>
      </c>
      <c r="BY32" s="14">
        <f t="shared" si="43"/>
        <v>14.015868829085711</v>
      </c>
      <c r="BZ32" s="14">
        <f t="shared" si="44"/>
        <v>4.1678531456068413</v>
      </c>
      <c r="CA32" s="14">
        <f t="shared" si="45"/>
        <v>6.3065093566209214</v>
      </c>
      <c r="CB32" s="14">
        <f t="shared" si="46"/>
        <v>16.633173409374436</v>
      </c>
      <c r="CC32" s="15">
        <f t="shared" si="47"/>
        <v>15.118291926572791</v>
      </c>
    </row>
    <row r="33" spans="2:81" ht="15" thickBot="1" x14ac:dyDescent="0.35">
      <c r="B33" s="3">
        <v>0.9375</v>
      </c>
      <c r="C33" s="14">
        <v>30.833333333333332</v>
      </c>
      <c r="D33" s="14">
        <v>27.833333333333332</v>
      </c>
      <c r="E33" s="14">
        <v>27.833333333333332</v>
      </c>
      <c r="F33" s="14">
        <v>28.833333333333332</v>
      </c>
      <c r="G33" s="14">
        <v>21.833333333333332</v>
      </c>
      <c r="H33" s="14">
        <v>18.833333333333332</v>
      </c>
      <c r="I33" s="15">
        <v>22.666666666666668</v>
      </c>
      <c r="K33" s="3">
        <v>0.9375</v>
      </c>
      <c r="L33" s="17">
        <v>1.5434673786083772E-2</v>
      </c>
      <c r="M33" s="17">
        <v>1.5281844802342612E-2</v>
      </c>
      <c r="N33" s="17">
        <v>1.553922024751094E-2</v>
      </c>
      <c r="O33" s="17">
        <v>1.5890511619362547E-2</v>
      </c>
      <c r="P33" s="17">
        <v>1.360614873286249E-2</v>
      </c>
      <c r="Q33" s="17">
        <v>1.5902054601745E-2</v>
      </c>
      <c r="R33" s="18">
        <v>2.2479338842975219E-2</v>
      </c>
      <c r="T33" s="3">
        <v>0.9375</v>
      </c>
      <c r="U33" s="14">
        <f t="shared" si="6"/>
        <v>16.485474959900206</v>
      </c>
      <c r="V33" s="14">
        <f t="shared" si="7"/>
        <v>14.881482801639644</v>
      </c>
      <c r="W33" s="14">
        <f t="shared" si="8"/>
        <v>14.881482801639642</v>
      </c>
      <c r="X33" s="14">
        <f t="shared" si="9"/>
        <v>15.416146854393162</v>
      </c>
      <c r="Y33" s="14">
        <f t="shared" si="10"/>
        <v>11.673498485118524</v>
      </c>
      <c r="Z33" s="14">
        <f t="shared" si="11"/>
        <v>10.069506326857962</v>
      </c>
      <c r="AA33" s="15">
        <f t="shared" si="12"/>
        <v>12.119051862413125</v>
      </c>
      <c r="AC33" s="3">
        <v>0.9375</v>
      </c>
      <c r="AD33" s="14">
        <f t="shared" si="13"/>
        <v>3.4344739499792096</v>
      </c>
      <c r="AE33" s="14">
        <f t="shared" si="14"/>
        <v>3.1003089170082592</v>
      </c>
      <c r="AF33" s="14">
        <f t="shared" si="15"/>
        <v>3.1003089170082583</v>
      </c>
      <c r="AG33" s="14">
        <f t="shared" si="16"/>
        <v>3.2116972613319086</v>
      </c>
      <c r="AH33" s="14">
        <f t="shared" si="17"/>
        <v>2.4319788510663591</v>
      </c>
      <c r="AI33" s="14">
        <f t="shared" si="18"/>
        <v>2.0978138180954087</v>
      </c>
      <c r="AJ33" s="15">
        <f t="shared" si="19"/>
        <v>2.5248024713360673</v>
      </c>
      <c r="AL33" s="3">
        <v>0.9375</v>
      </c>
      <c r="AM33" s="22">
        <f>Roster!G$60+Roster!G$61</f>
        <v>7</v>
      </c>
      <c r="AN33" s="22">
        <f>Roster!H$60+Roster!H$61</f>
        <v>7</v>
      </c>
      <c r="AO33" s="22">
        <f>Roster!I$60+Roster!I$61</f>
        <v>10</v>
      </c>
      <c r="AP33" s="22">
        <f>Roster!J$60+Roster!J$61</f>
        <v>6</v>
      </c>
      <c r="AQ33" s="22">
        <f>Roster!K$60+Roster!K$61</f>
        <v>6</v>
      </c>
      <c r="AR33" s="22">
        <f>Roster!L$60+Roster!L$61</f>
        <v>9</v>
      </c>
      <c r="AS33" s="48">
        <f>Roster!M$60+Roster!M$61</f>
        <v>9</v>
      </c>
      <c r="AU33" s="3">
        <v>0.9375</v>
      </c>
      <c r="AV33" s="14">
        <f t="shared" si="20"/>
        <v>4.76</v>
      </c>
      <c r="AW33" s="14">
        <f t="shared" si="21"/>
        <v>4.76</v>
      </c>
      <c r="AX33" s="14">
        <f t="shared" si="22"/>
        <v>6.7999999999999989</v>
      </c>
      <c r="AY33" s="14">
        <f t="shared" si="23"/>
        <v>4.08</v>
      </c>
      <c r="AZ33" s="14">
        <f t="shared" si="24"/>
        <v>4.08</v>
      </c>
      <c r="BA33" s="14">
        <f t="shared" si="25"/>
        <v>6.1199999999999992</v>
      </c>
      <c r="BB33" s="15">
        <f t="shared" si="26"/>
        <v>6.1199999999999992</v>
      </c>
      <c r="BD33" s="3">
        <v>0.9375</v>
      </c>
      <c r="BE33" s="14">
        <f t="shared" si="27"/>
        <v>22.848000000000003</v>
      </c>
      <c r="BF33" s="14">
        <f t="shared" si="28"/>
        <v>22.848000000000003</v>
      </c>
      <c r="BG33" s="14">
        <f t="shared" si="29"/>
        <v>32.639999999999993</v>
      </c>
      <c r="BH33" s="14">
        <f t="shared" si="30"/>
        <v>19.584000000000003</v>
      </c>
      <c r="BI33" s="14">
        <f t="shared" si="31"/>
        <v>19.584000000000003</v>
      </c>
      <c r="BJ33" s="14">
        <f t="shared" si="32"/>
        <v>29.375999999999998</v>
      </c>
      <c r="BK33" s="15">
        <f t="shared" si="33"/>
        <v>29.375999999999998</v>
      </c>
      <c r="BM33" s="3">
        <v>0.9375</v>
      </c>
      <c r="BN33" s="14">
        <f t="shared" si="34"/>
        <v>1.3255260500207902</v>
      </c>
      <c r="BO33" s="14">
        <f t="shared" si="35"/>
        <v>1.6596910829917406</v>
      </c>
      <c r="BP33" s="14">
        <f t="shared" si="36"/>
        <v>3.6996910829917407</v>
      </c>
      <c r="BQ33" s="14">
        <f t="shared" si="37"/>
        <v>0.86830273866809149</v>
      </c>
      <c r="BR33" s="14">
        <f t="shared" si="38"/>
        <v>1.6480211489336409</v>
      </c>
      <c r="BS33" s="14">
        <f t="shared" si="39"/>
        <v>4.0221861819045905</v>
      </c>
      <c r="BT33" s="15">
        <f t="shared" si="40"/>
        <v>3.5951975286639319</v>
      </c>
      <c r="BV33" s="3">
        <v>0.9375</v>
      </c>
      <c r="BW33" s="14">
        <f t="shared" si="41"/>
        <v>6.362525040099797</v>
      </c>
      <c r="BX33" s="14">
        <f t="shared" si="42"/>
        <v>7.9665171983603589</v>
      </c>
      <c r="BY33" s="14">
        <f t="shared" si="43"/>
        <v>17.758517198360352</v>
      </c>
      <c r="BZ33" s="14">
        <f t="shared" si="44"/>
        <v>4.1678531456068413</v>
      </c>
      <c r="CA33" s="14">
        <f t="shared" si="45"/>
        <v>7.9105015148814797</v>
      </c>
      <c r="CB33" s="14">
        <f t="shared" si="46"/>
        <v>19.306493673142036</v>
      </c>
      <c r="CC33" s="15">
        <f t="shared" si="47"/>
        <v>17.256948137586875</v>
      </c>
    </row>
    <row r="34" spans="2:81" ht="15" thickBot="1" x14ac:dyDescent="0.35">
      <c r="B34" s="3">
        <v>0.95833333333333337</v>
      </c>
      <c r="C34" s="14">
        <v>22.666666666666668</v>
      </c>
      <c r="D34" s="14">
        <v>29.666666666666668</v>
      </c>
      <c r="E34" s="14">
        <v>27.666666666666668</v>
      </c>
      <c r="F34" s="14">
        <v>27.666666666666668</v>
      </c>
      <c r="G34" s="14">
        <v>23.666666666666668</v>
      </c>
      <c r="H34" s="14">
        <v>18.666666666666668</v>
      </c>
      <c r="I34" s="15">
        <v>17.666666666666668</v>
      </c>
      <c r="K34" s="3">
        <v>0.95833333333333337</v>
      </c>
      <c r="L34" s="17">
        <v>1.1346570999499423E-2</v>
      </c>
      <c r="M34" s="17">
        <v>1.6288433382137636E-2</v>
      </c>
      <c r="N34" s="17">
        <v>1.5446171024471954E-2</v>
      </c>
      <c r="O34" s="17">
        <v>1.5247542941122447E-2</v>
      </c>
      <c r="P34" s="17">
        <v>1.4748649771499799E-2</v>
      </c>
      <c r="Q34" s="17">
        <v>1.5761328454826907E-2</v>
      </c>
      <c r="R34" s="18">
        <v>1.7520661157024803E-2</v>
      </c>
      <c r="T34" s="3">
        <v>0.95833333333333337</v>
      </c>
      <c r="U34" s="14">
        <f t="shared" si="6"/>
        <v>12.119051862413125</v>
      </c>
      <c r="V34" s="14">
        <f t="shared" si="7"/>
        <v>15.861700231687765</v>
      </c>
      <c r="W34" s="14">
        <f t="shared" si="8"/>
        <v>14.792372126180723</v>
      </c>
      <c r="X34" s="14">
        <f t="shared" si="9"/>
        <v>14.792372126180725</v>
      </c>
      <c r="Y34" s="14">
        <f t="shared" si="10"/>
        <v>12.653715915166643</v>
      </c>
      <c r="Z34" s="14">
        <f t="shared" si="11"/>
        <v>9.9803956513990446</v>
      </c>
      <c r="AA34" s="15">
        <f t="shared" si="12"/>
        <v>9.4457315986455246</v>
      </c>
      <c r="AC34" s="3">
        <v>0.95833333333333337</v>
      </c>
      <c r="AD34" s="14">
        <f t="shared" si="13"/>
        <v>2.5248024713360673</v>
      </c>
      <c r="AE34" s="14">
        <f t="shared" si="14"/>
        <v>3.3045208816016176</v>
      </c>
      <c r="AF34" s="14">
        <f t="shared" si="15"/>
        <v>3.0817441929543175</v>
      </c>
      <c r="AG34" s="14">
        <f t="shared" si="16"/>
        <v>3.0817441929543179</v>
      </c>
      <c r="AH34" s="14">
        <f t="shared" si="17"/>
        <v>2.6361908156597171</v>
      </c>
      <c r="AI34" s="14">
        <f t="shared" si="18"/>
        <v>2.0792490940414674</v>
      </c>
      <c r="AJ34" s="15">
        <f t="shared" si="19"/>
        <v>1.9678607497178178</v>
      </c>
      <c r="AL34" s="3">
        <v>0.95833333333333337</v>
      </c>
      <c r="AM34" s="22">
        <f>Roster!G$61</f>
        <v>7</v>
      </c>
      <c r="AN34" s="22">
        <f>Roster!H$61</f>
        <v>7</v>
      </c>
      <c r="AO34" s="22">
        <f>Roster!I$61</f>
        <v>10</v>
      </c>
      <c r="AP34" s="22">
        <f>Roster!J$61</f>
        <v>6</v>
      </c>
      <c r="AQ34" s="22">
        <f>Roster!K$61</f>
        <v>6</v>
      </c>
      <c r="AR34" s="22">
        <f>Roster!L$61</f>
        <v>9</v>
      </c>
      <c r="AS34" s="48">
        <f>Roster!M$61</f>
        <v>9</v>
      </c>
      <c r="AU34" s="3">
        <v>0.95833333333333337</v>
      </c>
      <c r="AV34" s="14">
        <f t="shared" si="20"/>
        <v>4.76</v>
      </c>
      <c r="AW34" s="14">
        <f t="shared" si="21"/>
        <v>4.76</v>
      </c>
      <c r="AX34" s="14">
        <f t="shared" si="22"/>
        <v>6.7999999999999989</v>
      </c>
      <c r="AY34" s="14">
        <f t="shared" si="23"/>
        <v>4.08</v>
      </c>
      <c r="AZ34" s="14">
        <f t="shared" si="24"/>
        <v>4.08</v>
      </c>
      <c r="BA34" s="14">
        <f t="shared" si="25"/>
        <v>6.1199999999999992</v>
      </c>
      <c r="BB34" s="15">
        <f t="shared" si="26"/>
        <v>6.1199999999999992</v>
      </c>
      <c r="BD34" s="3">
        <v>0.95833333333333337</v>
      </c>
      <c r="BE34" s="14">
        <f t="shared" si="27"/>
        <v>22.848000000000003</v>
      </c>
      <c r="BF34" s="14">
        <f t="shared" si="28"/>
        <v>22.848000000000003</v>
      </c>
      <c r="BG34" s="14">
        <f t="shared" si="29"/>
        <v>32.639999999999993</v>
      </c>
      <c r="BH34" s="14">
        <f t="shared" si="30"/>
        <v>19.584000000000003</v>
      </c>
      <c r="BI34" s="14">
        <f t="shared" si="31"/>
        <v>19.584000000000003</v>
      </c>
      <c r="BJ34" s="14">
        <f t="shared" si="32"/>
        <v>29.375999999999998</v>
      </c>
      <c r="BK34" s="15">
        <f t="shared" si="33"/>
        <v>29.375999999999998</v>
      </c>
      <c r="BM34" s="3">
        <v>0.95833333333333337</v>
      </c>
      <c r="BN34" s="14">
        <f t="shared" si="34"/>
        <v>2.2351975286639325</v>
      </c>
      <c r="BO34" s="14">
        <f t="shared" si="35"/>
        <v>1.4554791183983822</v>
      </c>
      <c r="BP34" s="14">
        <f t="shared" si="36"/>
        <v>3.7182558070456815</v>
      </c>
      <c r="BQ34" s="14">
        <f t="shared" si="37"/>
        <v>0.99825580704568218</v>
      </c>
      <c r="BR34" s="14">
        <f t="shared" si="38"/>
        <v>1.4438091843402829</v>
      </c>
      <c r="BS34" s="14">
        <f t="shared" si="39"/>
        <v>4.0407509059585323</v>
      </c>
      <c r="BT34" s="15">
        <f t="shared" si="40"/>
        <v>4.1521392502821817</v>
      </c>
      <c r="BV34" s="3">
        <v>0.95833333333333337</v>
      </c>
      <c r="BW34" s="14">
        <f t="shared" si="41"/>
        <v>10.728948137586878</v>
      </c>
      <c r="BX34" s="14">
        <f t="shared" si="42"/>
        <v>6.9862997683122376</v>
      </c>
      <c r="BY34" s="14">
        <f t="shared" si="43"/>
        <v>17.84762787381927</v>
      </c>
      <c r="BZ34" s="14">
        <f t="shared" si="44"/>
        <v>4.7916278738192783</v>
      </c>
      <c r="CA34" s="14">
        <f t="shared" si="45"/>
        <v>6.9302840848333602</v>
      </c>
      <c r="CB34" s="14">
        <f t="shared" si="46"/>
        <v>19.395604348600955</v>
      </c>
      <c r="CC34" s="15">
        <f t="shared" si="47"/>
        <v>19.930268401354475</v>
      </c>
    </row>
    <row r="35" spans="2:81" ht="15" thickBot="1" x14ac:dyDescent="0.35">
      <c r="B35" s="3">
        <v>0.97916666666666663</v>
      </c>
      <c r="C35" s="14">
        <v>17.666666666666668</v>
      </c>
      <c r="D35" s="14">
        <v>19.666666666666668</v>
      </c>
      <c r="E35" s="14">
        <v>16.666666666666668</v>
      </c>
      <c r="F35" s="14">
        <v>23.666666666666668</v>
      </c>
      <c r="G35" s="14">
        <v>23.666666666666668</v>
      </c>
      <c r="H35" s="14">
        <v>19.666666666666668</v>
      </c>
      <c r="I35" s="15">
        <v>11.666666666666666</v>
      </c>
      <c r="K35" s="3">
        <v>0.97916666666666663</v>
      </c>
      <c r="L35" s="17">
        <v>8.8436509260804326E-3</v>
      </c>
      <c r="M35" s="17">
        <v>1.0797950219619332E-2</v>
      </c>
      <c r="N35" s="17">
        <v>9.3049223038987675E-3</v>
      </c>
      <c r="O35" s="17">
        <v>1.3043078901442092E-2</v>
      </c>
      <c r="P35" s="17">
        <v>1.4748649771499799E-2</v>
      </c>
      <c r="Q35" s="17">
        <v>1.6605685336335489E-2</v>
      </c>
      <c r="R35" s="18">
        <v>1.1570247933884304E-2</v>
      </c>
      <c r="T35" s="3">
        <v>0.97916666666666663</v>
      </c>
      <c r="U35" s="14">
        <f t="shared" si="6"/>
        <v>9.4457315986455228</v>
      </c>
      <c r="V35" s="14">
        <f t="shared" si="7"/>
        <v>10.515059704152563</v>
      </c>
      <c r="W35" s="14">
        <f t="shared" si="8"/>
        <v>8.9110675458920028</v>
      </c>
      <c r="X35" s="14">
        <f t="shared" si="9"/>
        <v>12.653715915166643</v>
      </c>
      <c r="Y35" s="14">
        <f t="shared" si="10"/>
        <v>12.653715915166643</v>
      </c>
      <c r="Z35" s="14">
        <f t="shared" si="11"/>
        <v>10.515059704152563</v>
      </c>
      <c r="AA35" s="15">
        <f t="shared" si="12"/>
        <v>6.2377472821244027</v>
      </c>
      <c r="AC35" s="3">
        <v>0.97916666666666663</v>
      </c>
      <c r="AD35" s="14">
        <f t="shared" si="13"/>
        <v>1.9678607497178171</v>
      </c>
      <c r="AE35" s="14">
        <f t="shared" si="14"/>
        <v>2.1906374383651173</v>
      </c>
      <c r="AF35" s="14">
        <f t="shared" si="15"/>
        <v>1.8564724053941672</v>
      </c>
      <c r="AG35" s="14">
        <f t="shared" si="16"/>
        <v>2.6361908156597171</v>
      </c>
      <c r="AH35" s="14">
        <f t="shared" si="17"/>
        <v>2.6361908156597171</v>
      </c>
      <c r="AI35" s="14">
        <f t="shared" si="18"/>
        <v>2.1906374383651173</v>
      </c>
      <c r="AJ35" s="15">
        <f t="shared" si="19"/>
        <v>1.2995306837759171</v>
      </c>
      <c r="AL35" s="3">
        <v>0.97916666666666663</v>
      </c>
      <c r="AM35" s="22">
        <f>Roster!G$61</f>
        <v>7</v>
      </c>
      <c r="AN35" s="22">
        <f>Roster!H$61</f>
        <v>7</v>
      </c>
      <c r="AO35" s="22">
        <f>Roster!I$61</f>
        <v>10</v>
      </c>
      <c r="AP35" s="22">
        <f>Roster!J$61</f>
        <v>6</v>
      </c>
      <c r="AQ35" s="22">
        <f>Roster!K$61</f>
        <v>6</v>
      </c>
      <c r="AR35" s="22">
        <f>Roster!L$61</f>
        <v>9</v>
      </c>
      <c r="AS35" s="48">
        <f>Roster!M$61</f>
        <v>9</v>
      </c>
      <c r="AU35" s="3">
        <v>0.97916666666666663</v>
      </c>
      <c r="AV35" s="14">
        <f t="shared" si="20"/>
        <v>4.76</v>
      </c>
      <c r="AW35" s="14">
        <f t="shared" si="21"/>
        <v>4.76</v>
      </c>
      <c r="AX35" s="14">
        <f t="shared" si="22"/>
        <v>6.7999999999999989</v>
      </c>
      <c r="AY35" s="14">
        <f t="shared" si="23"/>
        <v>4.08</v>
      </c>
      <c r="AZ35" s="14">
        <f t="shared" si="24"/>
        <v>4.08</v>
      </c>
      <c r="BA35" s="14">
        <f t="shared" si="25"/>
        <v>6.1199999999999992</v>
      </c>
      <c r="BB35" s="15">
        <f t="shared" si="26"/>
        <v>6.1199999999999992</v>
      </c>
      <c r="BD35" s="3">
        <v>0.97916666666666663</v>
      </c>
      <c r="BE35" s="14">
        <f t="shared" si="27"/>
        <v>22.848000000000003</v>
      </c>
      <c r="BF35" s="14">
        <f t="shared" si="28"/>
        <v>22.848000000000003</v>
      </c>
      <c r="BG35" s="14">
        <f t="shared" si="29"/>
        <v>32.639999999999993</v>
      </c>
      <c r="BH35" s="14">
        <f t="shared" si="30"/>
        <v>19.584000000000003</v>
      </c>
      <c r="BI35" s="14">
        <f t="shared" si="31"/>
        <v>19.584000000000003</v>
      </c>
      <c r="BJ35" s="14">
        <f t="shared" si="32"/>
        <v>29.375999999999998</v>
      </c>
      <c r="BK35" s="15">
        <f t="shared" si="33"/>
        <v>29.375999999999998</v>
      </c>
      <c r="BM35" s="3">
        <v>0.97916666666666663</v>
      </c>
      <c r="BN35" s="14">
        <f t="shared" si="34"/>
        <v>2.7921392502821827</v>
      </c>
      <c r="BO35" s="14">
        <f t="shared" si="35"/>
        <v>2.5693625616348825</v>
      </c>
      <c r="BP35" s="14">
        <f t="shared" si="36"/>
        <v>4.9435275946058317</v>
      </c>
      <c r="BQ35" s="14">
        <f t="shared" si="37"/>
        <v>1.4438091843402829</v>
      </c>
      <c r="BR35" s="14">
        <f t="shared" si="38"/>
        <v>1.4438091843402829</v>
      </c>
      <c r="BS35" s="14">
        <f t="shared" si="39"/>
        <v>3.929362561634882</v>
      </c>
      <c r="BT35" s="15">
        <f t="shared" si="40"/>
        <v>4.8204693162240826</v>
      </c>
      <c r="BV35" s="3">
        <v>0.97916666666666663</v>
      </c>
      <c r="BW35" s="14">
        <f t="shared" si="41"/>
        <v>13.40226840135448</v>
      </c>
      <c r="BX35" s="14">
        <f t="shared" si="42"/>
        <v>12.33294029584744</v>
      </c>
      <c r="BY35" s="14">
        <f t="shared" si="43"/>
        <v>23.728932454107991</v>
      </c>
      <c r="BZ35" s="14">
        <f t="shared" si="44"/>
        <v>6.9302840848333602</v>
      </c>
      <c r="CA35" s="14">
        <f t="shared" si="45"/>
        <v>6.9302840848333602</v>
      </c>
      <c r="CB35" s="14">
        <f t="shared" si="46"/>
        <v>18.860940295847435</v>
      </c>
      <c r="CC35" s="15">
        <f t="shared" si="47"/>
        <v>23.138252717875595</v>
      </c>
    </row>
    <row r="36" spans="2:81" ht="15" thickBot="1" x14ac:dyDescent="0.35">
      <c r="B36" s="8" t="s">
        <v>8</v>
      </c>
      <c r="C36" s="13">
        <v>1997.6666666666656</v>
      </c>
      <c r="D36" s="13">
        <v>1821.3333333333326</v>
      </c>
      <c r="E36" s="13">
        <v>1791.1666666666658</v>
      </c>
      <c r="F36" s="13">
        <v>1814.4999999999993</v>
      </c>
      <c r="G36" s="13">
        <v>1604.6666666666661</v>
      </c>
      <c r="H36" s="13">
        <v>1184.3333333333335</v>
      </c>
      <c r="I36" s="13">
        <v>1008.3333333333328</v>
      </c>
      <c r="K36" s="8" t="s">
        <v>8</v>
      </c>
      <c r="L36" s="16">
        <v>1.0000000000000007</v>
      </c>
      <c r="M36" s="16">
        <v>1.0000000000000002</v>
      </c>
      <c r="N36" s="16">
        <v>1.0000000000000007</v>
      </c>
      <c r="O36" s="16">
        <v>1.0000000000000002</v>
      </c>
      <c r="P36" s="16">
        <v>1.0000000000000004</v>
      </c>
      <c r="Q36" s="16">
        <v>0.99999999999999978</v>
      </c>
      <c r="R36" s="16">
        <v>1.0000000000000004</v>
      </c>
      <c r="T36" s="8" t="s">
        <v>8</v>
      </c>
      <c r="U36" s="13">
        <f>SUM($U6:$U35)</f>
        <v>1068.0805560506151</v>
      </c>
      <c r="V36" s="13">
        <f t="shared" ref="V36:AA36" si="48">SUM($U6:$U35)</f>
        <v>1068.0805560506151</v>
      </c>
      <c r="W36" s="13">
        <f t="shared" si="48"/>
        <v>1068.0805560506151</v>
      </c>
      <c r="X36" s="13">
        <f t="shared" si="48"/>
        <v>1068.0805560506151</v>
      </c>
      <c r="Y36" s="13">
        <f t="shared" si="48"/>
        <v>1068.0805560506151</v>
      </c>
      <c r="Z36" s="13">
        <f t="shared" si="48"/>
        <v>1068.0805560506151</v>
      </c>
      <c r="AA36" s="13">
        <f t="shared" si="48"/>
        <v>1068.0805560506151</v>
      </c>
      <c r="AC36" s="8" t="s">
        <v>8</v>
      </c>
      <c r="AD36" s="13">
        <f>SUM(AD$6:AD$35)/2</f>
        <v>111.25839125527243</v>
      </c>
      <c r="AE36" s="13">
        <f t="shared" ref="AE36:AJ36" si="49">SUM(AE$6:AE$35)/2</f>
        <v>101.4376522307373</v>
      </c>
      <c r="AF36" s="13">
        <f t="shared" si="49"/>
        <v>99.757544703855572</v>
      </c>
      <c r="AG36" s="13">
        <f t="shared" si="49"/>
        <v>101.0570753876315</v>
      </c>
      <c r="AH36" s="13">
        <f t="shared" si="49"/>
        <v>89.370581595675219</v>
      </c>
      <c r="AI36" s="13">
        <f t="shared" si="49"/>
        <v>65.960464563654753</v>
      </c>
      <c r="AJ36" s="13">
        <f t="shared" si="49"/>
        <v>56.158290263173562</v>
      </c>
      <c r="AL36" s="8" t="s">
        <v>8</v>
      </c>
      <c r="AM36" s="8">
        <f>SUM(AM$6:AM$35)</f>
        <v>700</v>
      </c>
      <c r="AN36" s="8">
        <f t="shared" ref="AN36:AS36" si="50">SUM(AN$6:AN$35)</f>
        <v>610</v>
      </c>
      <c r="AO36" s="8">
        <f t="shared" si="50"/>
        <v>670</v>
      </c>
      <c r="AP36" s="8">
        <f t="shared" si="50"/>
        <v>470</v>
      </c>
      <c r="AQ36" s="8">
        <f t="shared" si="50"/>
        <v>470</v>
      </c>
      <c r="AR36" s="8">
        <f t="shared" si="50"/>
        <v>498</v>
      </c>
      <c r="AS36" s="8">
        <f t="shared" si="50"/>
        <v>498</v>
      </c>
      <c r="AU36" s="8" t="s">
        <v>8</v>
      </c>
      <c r="AV36" s="13">
        <f>SUM(AV$6:AV$35)</f>
        <v>475.99999999999972</v>
      </c>
      <c r="AW36" s="13">
        <f t="shared" ref="AW36:BB36" si="51">SUM(AW$6:AW$35)</f>
        <v>414.7999999999999</v>
      </c>
      <c r="AX36" s="13">
        <f t="shared" si="51"/>
        <v>455.6</v>
      </c>
      <c r="AY36" s="13">
        <f t="shared" si="51"/>
        <v>319.60000000000002</v>
      </c>
      <c r="AZ36" s="13">
        <f t="shared" si="51"/>
        <v>319.60000000000002</v>
      </c>
      <c r="BA36" s="13">
        <f t="shared" si="51"/>
        <v>338.64000000000027</v>
      </c>
      <c r="BB36" s="13">
        <f t="shared" si="51"/>
        <v>338.64000000000027</v>
      </c>
      <c r="BD36" s="8" t="s">
        <v>8</v>
      </c>
      <c r="BE36" s="13">
        <f>SUM(BE$6:BE$35)</f>
        <v>2284.8000000000002</v>
      </c>
      <c r="BF36" s="13">
        <f t="shared" ref="BF36:BK36" si="52">SUM(BF$6:BF$35)</f>
        <v>1991.0399999999995</v>
      </c>
      <c r="BG36" s="13">
        <f t="shared" si="52"/>
        <v>2186.8799999999997</v>
      </c>
      <c r="BH36" s="13">
        <f t="shared" si="52"/>
        <v>1534.0800000000004</v>
      </c>
      <c r="BI36" s="13">
        <f t="shared" si="52"/>
        <v>1534.0800000000004</v>
      </c>
      <c r="BJ36" s="13">
        <f t="shared" si="52"/>
        <v>1625.4720000000007</v>
      </c>
      <c r="BK36" s="13">
        <f t="shared" si="52"/>
        <v>1625.4720000000007</v>
      </c>
      <c r="BM36" s="8" t="s">
        <v>8</v>
      </c>
      <c r="BN36" s="8">
        <f>COUNTIF(BN$6:BN$35,"&lt;0")</f>
        <v>0</v>
      </c>
      <c r="BO36" s="8">
        <f t="shared" ref="BO36:BT36" si="53">COUNTIF(BO$6:BO$35,"&lt;0")</f>
        <v>0</v>
      </c>
      <c r="BP36" s="8">
        <f t="shared" si="53"/>
        <v>0</v>
      </c>
      <c r="BQ36" s="8">
        <f t="shared" si="53"/>
        <v>0</v>
      </c>
      <c r="BR36" s="8">
        <f t="shared" si="53"/>
        <v>0</v>
      </c>
      <c r="BS36" s="8">
        <f t="shared" si="53"/>
        <v>0</v>
      </c>
      <c r="BT36" s="8">
        <f t="shared" si="53"/>
        <v>0</v>
      </c>
      <c r="BV36" s="8" t="s">
        <v>8</v>
      </c>
      <c r="BW36" s="8">
        <f>COUNTIF(BW$6:BW$35,"&lt;0")</f>
        <v>0</v>
      </c>
      <c r="BX36" s="8">
        <f t="shared" ref="BX36:CC36" si="54">COUNTIF(BX$6:BX$35,"&lt;0")</f>
        <v>0</v>
      </c>
      <c r="BY36" s="8">
        <f t="shared" si="54"/>
        <v>0</v>
      </c>
      <c r="BZ36" s="8">
        <f t="shared" si="54"/>
        <v>0</v>
      </c>
      <c r="CA36" s="8">
        <f t="shared" si="54"/>
        <v>0</v>
      </c>
      <c r="CB36" s="8">
        <f t="shared" si="54"/>
        <v>0</v>
      </c>
      <c r="CC36" s="8">
        <f t="shared" si="54"/>
        <v>0</v>
      </c>
    </row>
    <row r="37" spans="2:81" ht="29.4" thickBot="1" x14ac:dyDescent="0.35">
      <c r="B37" s="8" t="s">
        <v>9</v>
      </c>
      <c r="C37" s="16">
        <v>0.17801342600843581</v>
      </c>
      <c r="D37" s="16">
        <v>0.1623002435691796</v>
      </c>
      <c r="E37" s="16">
        <v>0.15961207152616882</v>
      </c>
      <c r="F37" s="16">
        <v>0.16169132062021033</v>
      </c>
      <c r="G37" s="16">
        <v>0.14299293055308027</v>
      </c>
      <c r="H37" s="16">
        <v>0.10553674330184763</v>
      </c>
      <c r="I37" s="16">
        <v>8.9853264421077647E-2</v>
      </c>
      <c r="BV37" s="16" t="s">
        <v>35</v>
      </c>
      <c r="BW37" s="16">
        <f>1-(BW$36/30)</f>
        <v>1</v>
      </c>
      <c r="BX37" s="16">
        <f t="shared" ref="BX37:CC37" si="55">1-(BX$36/30)</f>
        <v>1</v>
      </c>
      <c r="BY37" s="16">
        <f t="shared" si="55"/>
        <v>1</v>
      </c>
      <c r="BZ37" s="16">
        <f t="shared" si="55"/>
        <v>1</v>
      </c>
      <c r="CA37" s="16">
        <f t="shared" si="55"/>
        <v>1</v>
      </c>
      <c r="CB37" s="16">
        <f t="shared" si="55"/>
        <v>1</v>
      </c>
      <c r="CC37" s="16">
        <f t="shared" si="55"/>
        <v>1</v>
      </c>
    </row>
    <row r="38" spans="2:81" ht="15" thickBot="1" x14ac:dyDescent="0.35">
      <c r="BV38" s="16" t="s">
        <v>36</v>
      </c>
      <c r="BW38" s="16">
        <f>1-(SUM(BW$36:CC$36)/(30*7))</f>
        <v>1</v>
      </c>
    </row>
  </sheetData>
  <mergeCells count="9">
    <mergeCell ref="BD4:BD5"/>
    <mergeCell ref="BM4:BM5"/>
    <mergeCell ref="BV4:BV5"/>
    <mergeCell ref="B4:B5"/>
    <mergeCell ref="K4:K5"/>
    <mergeCell ref="T4:T5"/>
    <mergeCell ref="AC4:AC5"/>
    <mergeCell ref="AL4:AL5"/>
    <mergeCell ref="AU4:AU5"/>
  </mergeCells>
  <conditionalFormatting sqref="BN6:BT35">
    <cfRule type="cellIs" dxfId="5" priority="10" operator="greaterThan">
      <formula>0</formula>
    </cfRule>
    <cfRule type="cellIs" dxfId="4" priority="12" operator="equal">
      <formula>0</formula>
    </cfRule>
    <cfRule type="cellIs" dxfId="3" priority="13" operator="lessThan">
      <formula>0</formula>
    </cfRule>
  </conditionalFormatting>
  <conditionalFormatting sqref="BW6:CC35">
    <cfRule type="cellIs" dxfId="2" priority="1" operator="lessThan">
      <formula>0</formula>
    </cfRule>
    <cfRule type="cellIs" dxfId="1" priority="2" operator="equal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7BE8-46F6-47E8-98B0-526EA9A0EBBB}">
  <dimension ref="B2:V62"/>
  <sheetViews>
    <sheetView showGridLines="0" tabSelected="1" topLeftCell="A22" workbookViewId="0">
      <selection activeCell="P53" sqref="P53"/>
    </sheetView>
  </sheetViews>
  <sheetFormatPr defaultRowHeight="14.4" x14ac:dyDescent="0.3"/>
  <cols>
    <col min="2" max="2" width="5.6640625" bestFit="1" customWidth="1"/>
    <col min="3" max="3" width="11.6640625" bestFit="1" customWidth="1"/>
    <col min="4" max="4" width="15" bestFit="1" customWidth="1"/>
    <col min="5" max="5" width="10.5546875" bestFit="1" customWidth="1"/>
    <col min="6" max="6" width="14.6640625" bestFit="1" customWidth="1"/>
    <col min="7" max="9" width="9.6640625" bestFit="1" customWidth="1"/>
    <col min="10" max="13" width="8.44140625" bestFit="1" customWidth="1"/>
    <col min="14" max="14" width="4.33203125" bestFit="1" customWidth="1"/>
  </cols>
  <sheetData>
    <row r="2" spans="2:22" x14ac:dyDescent="0.3">
      <c r="B2" s="30" t="s">
        <v>20</v>
      </c>
      <c r="C2" s="30" t="s">
        <v>21</v>
      </c>
      <c r="D2" s="30" t="s">
        <v>22</v>
      </c>
      <c r="E2" s="30" t="s">
        <v>23</v>
      </c>
      <c r="F2" s="30" t="s">
        <v>24</v>
      </c>
      <c r="G2" s="31">
        <f>'Schedule Validation'!AD4</f>
        <v>45928</v>
      </c>
      <c r="H2" s="31">
        <f>'Schedule Validation'!AE4</f>
        <v>45929</v>
      </c>
      <c r="I2" s="31">
        <f>'Schedule Validation'!AF4</f>
        <v>45930</v>
      </c>
      <c r="J2" s="31">
        <f>'Schedule Validation'!AG4</f>
        <v>45931</v>
      </c>
      <c r="K2" s="31">
        <f>'Schedule Validation'!AH4</f>
        <v>45932</v>
      </c>
      <c r="L2" s="31">
        <f>'Schedule Validation'!AI4</f>
        <v>45933</v>
      </c>
      <c r="M2" s="31">
        <f>'Schedule Validation'!AJ4</f>
        <v>45934</v>
      </c>
      <c r="N2" s="53" t="s">
        <v>26</v>
      </c>
    </row>
    <row r="3" spans="2:22" x14ac:dyDescent="0.3">
      <c r="B3" s="54"/>
      <c r="C3" s="54"/>
      <c r="D3" s="54"/>
      <c r="E3" s="54"/>
      <c r="F3" s="54"/>
      <c r="G3" s="32" t="s">
        <v>0</v>
      </c>
      <c r="H3" s="32" t="s">
        <v>1</v>
      </c>
      <c r="I3" s="32" t="s">
        <v>2</v>
      </c>
      <c r="J3" s="32" t="s">
        <v>3</v>
      </c>
      <c r="K3" s="32" t="s">
        <v>4</v>
      </c>
      <c r="L3" s="32" t="s">
        <v>5</v>
      </c>
      <c r="M3" s="32" t="s">
        <v>6</v>
      </c>
      <c r="N3" s="53"/>
    </row>
    <row r="4" spans="2:22" x14ac:dyDescent="0.3">
      <c r="B4" s="33">
        <v>1</v>
      </c>
      <c r="C4" s="34" t="s">
        <v>28</v>
      </c>
      <c r="D4" s="34" t="s">
        <v>28</v>
      </c>
      <c r="E4" s="34" t="s">
        <v>28</v>
      </c>
      <c r="F4" s="36">
        <v>0.375</v>
      </c>
      <c r="G4" s="34" t="s">
        <v>27</v>
      </c>
      <c r="H4" s="34" t="s">
        <v>27</v>
      </c>
      <c r="I4" s="34" t="s">
        <v>27</v>
      </c>
      <c r="J4" s="34" t="s">
        <v>27</v>
      </c>
      <c r="K4" s="34" t="s">
        <v>27</v>
      </c>
      <c r="L4" s="55" t="s">
        <v>37</v>
      </c>
      <c r="M4" s="55" t="s">
        <v>37</v>
      </c>
      <c r="N4" s="35">
        <v>2</v>
      </c>
      <c r="S4" s="49"/>
    </row>
    <row r="5" spans="2:22" x14ac:dyDescent="0.3">
      <c r="B5" s="33">
        <v>2</v>
      </c>
      <c r="C5" s="34" t="s">
        <v>28</v>
      </c>
      <c r="D5" s="34" t="s">
        <v>28</v>
      </c>
      <c r="E5" s="34" t="s">
        <v>28</v>
      </c>
      <c r="F5" s="36">
        <v>0.375</v>
      </c>
      <c r="G5" s="34" t="s">
        <v>27</v>
      </c>
      <c r="H5" s="34" t="s">
        <v>27</v>
      </c>
      <c r="I5" s="34" t="s">
        <v>27</v>
      </c>
      <c r="J5" s="34" t="s">
        <v>27</v>
      </c>
      <c r="K5" s="34" t="s">
        <v>27</v>
      </c>
      <c r="L5" s="55" t="s">
        <v>37</v>
      </c>
      <c r="M5" s="55" t="s">
        <v>37</v>
      </c>
      <c r="N5" s="35">
        <v>2</v>
      </c>
      <c r="S5" s="49"/>
    </row>
    <row r="6" spans="2:22" x14ac:dyDescent="0.3">
      <c r="B6" s="33">
        <v>3</v>
      </c>
      <c r="C6" s="34" t="s">
        <v>28</v>
      </c>
      <c r="D6" s="34" t="s">
        <v>28</v>
      </c>
      <c r="E6" s="34" t="s">
        <v>28</v>
      </c>
      <c r="F6" s="36">
        <v>0.375</v>
      </c>
      <c r="G6" s="34" t="s">
        <v>27</v>
      </c>
      <c r="H6" s="34" t="s">
        <v>27</v>
      </c>
      <c r="I6" s="34" t="s">
        <v>27</v>
      </c>
      <c r="J6" s="34" t="s">
        <v>27</v>
      </c>
      <c r="K6" s="34" t="s">
        <v>27</v>
      </c>
      <c r="L6" s="55" t="s">
        <v>37</v>
      </c>
      <c r="M6" s="55" t="s">
        <v>37</v>
      </c>
      <c r="N6" s="35">
        <v>2</v>
      </c>
      <c r="S6" s="49"/>
      <c r="V6" s="49"/>
    </row>
    <row r="7" spans="2:22" x14ac:dyDescent="0.3">
      <c r="B7" s="33">
        <v>4</v>
      </c>
      <c r="C7" s="34" t="s">
        <v>28</v>
      </c>
      <c r="D7" s="34" t="s">
        <v>28</v>
      </c>
      <c r="E7" s="34" t="s">
        <v>28</v>
      </c>
      <c r="F7" s="36">
        <v>0.375</v>
      </c>
      <c r="G7" s="34" t="s">
        <v>27</v>
      </c>
      <c r="H7" s="34" t="s">
        <v>27</v>
      </c>
      <c r="I7" s="34" t="s">
        <v>27</v>
      </c>
      <c r="J7" s="34" t="s">
        <v>27</v>
      </c>
      <c r="K7" s="34" t="s">
        <v>27</v>
      </c>
      <c r="L7" s="55" t="s">
        <v>37</v>
      </c>
      <c r="M7" s="55" t="s">
        <v>37</v>
      </c>
      <c r="N7" s="35">
        <v>2</v>
      </c>
      <c r="S7" s="49"/>
      <c r="V7" s="49"/>
    </row>
    <row r="8" spans="2:22" x14ac:dyDescent="0.3">
      <c r="B8" s="33">
        <v>5</v>
      </c>
      <c r="C8" s="34" t="s">
        <v>28</v>
      </c>
      <c r="D8" s="34" t="s">
        <v>28</v>
      </c>
      <c r="E8" s="34" t="s">
        <v>28</v>
      </c>
      <c r="F8" s="36">
        <v>0.375</v>
      </c>
      <c r="G8" s="34" t="s">
        <v>27</v>
      </c>
      <c r="H8" s="34" t="s">
        <v>27</v>
      </c>
      <c r="I8" s="34" t="s">
        <v>27</v>
      </c>
      <c r="J8" s="34" t="s">
        <v>27</v>
      </c>
      <c r="K8" s="34" t="s">
        <v>27</v>
      </c>
      <c r="L8" s="55" t="s">
        <v>37</v>
      </c>
      <c r="M8" s="55" t="s">
        <v>37</v>
      </c>
      <c r="N8" s="35">
        <v>2</v>
      </c>
      <c r="Q8" s="49"/>
      <c r="R8" s="49"/>
      <c r="S8" s="49"/>
      <c r="T8" s="49"/>
      <c r="U8" s="49"/>
      <c r="V8" s="49"/>
    </row>
    <row r="9" spans="2:22" x14ac:dyDescent="0.3">
      <c r="B9" s="33">
        <v>6</v>
      </c>
      <c r="C9" s="34" t="s">
        <v>28</v>
      </c>
      <c r="D9" s="34" t="s">
        <v>28</v>
      </c>
      <c r="E9" s="34" t="s">
        <v>28</v>
      </c>
      <c r="F9" s="36">
        <v>0.375</v>
      </c>
      <c r="G9" s="34" t="s">
        <v>27</v>
      </c>
      <c r="H9" s="34" t="s">
        <v>27</v>
      </c>
      <c r="I9" s="34" t="s">
        <v>27</v>
      </c>
      <c r="J9" s="34" t="s">
        <v>27</v>
      </c>
      <c r="K9" s="34" t="s">
        <v>27</v>
      </c>
      <c r="L9" s="55" t="s">
        <v>37</v>
      </c>
      <c r="M9" s="55" t="s">
        <v>37</v>
      </c>
      <c r="N9" s="35">
        <v>2</v>
      </c>
      <c r="P9" s="49"/>
      <c r="Q9" s="49"/>
      <c r="R9" s="49"/>
      <c r="S9" s="49"/>
      <c r="T9" s="49"/>
      <c r="U9" s="49"/>
      <c r="V9" s="49"/>
    </row>
    <row r="10" spans="2:22" x14ac:dyDescent="0.3">
      <c r="B10" s="33">
        <v>7</v>
      </c>
      <c r="C10" s="34" t="s">
        <v>28</v>
      </c>
      <c r="D10" s="34" t="s">
        <v>28</v>
      </c>
      <c r="E10" s="34" t="s">
        <v>28</v>
      </c>
      <c r="F10" s="36">
        <v>0.375</v>
      </c>
      <c r="G10" s="34" t="s">
        <v>27</v>
      </c>
      <c r="H10" s="34" t="s">
        <v>27</v>
      </c>
      <c r="I10" s="34" t="s">
        <v>27</v>
      </c>
      <c r="J10" s="34" t="s">
        <v>27</v>
      </c>
      <c r="K10" s="34" t="s">
        <v>27</v>
      </c>
      <c r="L10" s="55" t="s">
        <v>37</v>
      </c>
      <c r="M10" s="55" t="s">
        <v>37</v>
      </c>
      <c r="N10" s="35">
        <v>2</v>
      </c>
      <c r="P10" s="49"/>
      <c r="Q10" s="49"/>
      <c r="R10" s="49"/>
      <c r="S10" s="49"/>
      <c r="T10" s="49"/>
      <c r="U10" s="49"/>
      <c r="V10" s="49"/>
    </row>
    <row r="11" spans="2:22" x14ac:dyDescent="0.3">
      <c r="B11" s="33">
        <v>8</v>
      </c>
      <c r="C11" s="34" t="s">
        <v>28</v>
      </c>
      <c r="D11" s="34" t="s">
        <v>28</v>
      </c>
      <c r="E11" s="34" t="s">
        <v>28</v>
      </c>
      <c r="F11" s="36">
        <v>0.375</v>
      </c>
      <c r="G11" s="34" t="s">
        <v>27</v>
      </c>
      <c r="H11" s="34" t="s">
        <v>27</v>
      </c>
      <c r="I11" s="34" t="s">
        <v>27</v>
      </c>
      <c r="J11" s="55" t="s">
        <v>37</v>
      </c>
      <c r="K11" s="55" t="s">
        <v>37</v>
      </c>
      <c r="L11" s="34" t="s">
        <v>27</v>
      </c>
      <c r="M11" s="34" t="s">
        <v>27</v>
      </c>
      <c r="N11" s="35">
        <v>2</v>
      </c>
      <c r="P11" s="49"/>
      <c r="Q11" s="49"/>
      <c r="R11" s="49"/>
      <c r="S11" s="49"/>
      <c r="T11" s="49"/>
      <c r="U11" s="49"/>
      <c r="V11" s="49"/>
    </row>
    <row r="12" spans="2:22" x14ac:dyDescent="0.3">
      <c r="B12" s="33">
        <v>9</v>
      </c>
      <c r="C12" s="34" t="s">
        <v>28</v>
      </c>
      <c r="D12" s="34" t="s">
        <v>28</v>
      </c>
      <c r="E12" s="34" t="s">
        <v>28</v>
      </c>
      <c r="F12" s="36">
        <v>0.375</v>
      </c>
      <c r="G12" s="34" t="s">
        <v>27</v>
      </c>
      <c r="H12" s="34" t="s">
        <v>27</v>
      </c>
      <c r="I12" s="34" t="s">
        <v>27</v>
      </c>
      <c r="J12" s="34" t="s">
        <v>27</v>
      </c>
      <c r="K12" s="34" t="s">
        <v>27</v>
      </c>
      <c r="L12" s="34" t="s">
        <v>27</v>
      </c>
      <c r="M12" s="34" t="s">
        <v>27</v>
      </c>
      <c r="N12" s="35">
        <v>2</v>
      </c>
      <c r="P12" s="49"/>
      <c r="Q12" s="49"/>
      <c r="R12" s="49"/>
      <c r="S12" s="49"/>
      <c r="T12" s="49"/>
      <c r="U12" s="49"/>
    </row>
    <row r="13" spans="2:22" x14ac:dyDescent="0.3">
      <c r="B13" s="33">
        <v>10</v>
      </c>
      <c r="C13" s="34" t="s">
        <v>28</v>
      </c>
      <c r="D13" s="34" t="s">
        <v>28</v>
      </c>
      <c r="E13" s="34" t="s">
        <v>28</v>
      </c>
      <c r="F13" s="36">
        <v>0.375</v>
      </c>
      <c r="G13" s="34" t="s">
        <v>27</v>
      </c>
      <c r="H13" s="34" t="s">
        <v>27</v>
      </c>
      <c r="I13" s="34" t="s">
        <v>27</v>
      </c>
      <c r="J13" s="34" t="s">
        <v>27</v>
      </c>
      <c r="K13" s="34" t="s">
        <v>27</v>
      </c>
      <c r="L13" s="55" t="s">
        <v>37</v>
      </c>
      <c r="M13" s="55" t="s">
        <v>37</v>
      </c>
      <c r="N13" s="35">
        <v>2</v>
      </c>
      <c r="P13" s="49"/>
      <c r="Q13" s="49"/>
      <c r="R13" s="49"/>
      <c r="S13" s="49"/>
      <c r="T13" s="49"/>
      <c r="U13" s="49"/>
    </row>
    <row r="14" spans="2:22" x14ac:dyDescent="0.3">
      <c r="B14" s="33">
        <v>11</v>
      </c>
      <c r="C14" s="34" t="s">
        <v>28</v>
      </c>
      <c r="D14" s="34" t="s">
        <v>28</v>
      </c>
      <c r="E14" s="34" t="s">
        <v>28</v>
      </c>
      <c r="F14" s="36">
        <v>0.375</v>
      </c>
      <c r="G14" s="34" t="s">
        <v>27</v>
      </c>
      <c r="H14" s="55" t="s">
        <v>37</v>
      </c>
      <c r="I14" s="55" t="s">
        <v>37</v>
      </c>
      <c r="J14" s="34" t="s">
        <v>27</v>
      </c>
      <c r="K14" s="34" t="s">
        <v>27</v>
      </c>
      <c r="L14" s="34" t="s">
        <v>27</v>
      </c>
      <c r="M14" s="34" t="s">
        <v>27</v>
      </c>
      <c r="N14" s="35">
        <v>2</v>
      </c>
      <c r="P14" s="49"/>
      <c r="R14" s="49"/>
    </row>
    <row r="15" spans="2:22" x14ac:dyDescent="0.3">
      <c r="B15" s="33">
        <v>12</v>
      </c>
      <c r="C15" s="34" t="s">
        <v>28</v>
      </c>
      <c r="D15" s="34" t="s">
        <v>28</v>
      </c>
      <c r="E15" s="34" t="s">
        <v>28</v>
      </c>
      <c r="F15" s="36">
        <v>0.375</v>
      </c>
      <c r="G15" s="34" t="s">
        <v>27</v>
      </c>
      <c r="H15" s="55" t="s">
        <v>37</v>
      </c>
      <c r="I15" s="55" t="s">
        <v>37</v>
      </c>
      <c r="J15" s="34" t="s">
        <v>27</v>
      </c>
      <c r="K15" s="34" t="s">
        <v>27</v>
      </c>
      <c r="L15" s="34" t="s">
        <v>27</v>
      </c>
      <c r="M15" s="34" t="s">
        <v>27</v>
      </c>
      <c r="N15" s="35">
        <v>2</v>
      </c>
      <c r="R15" s="49"/>
    </row>
    <row r="16" spans="2:22" x14ac:dyDescent="0.3">
      <c r="B16" s="33">
        <v>13</v>
      </c>
      <c r="C16" s="34" t="s">
        <v>28</v>
      </c>
      <c r="D16" s="34" t="s">
        <v>28</v>
      </c>
      <c r="E16" s="34" t="s">
        <v>28</v>
      </c>
      <c r="F16" s="36">
        <v>0.375</v>
      </c>
      <c r="G16" s="34" t="s">
        <v>27</v>
      </c>
      <c r="H16" s="55" t="s">
        <v>37</v>
      </c>
      <c r="I16" s="55" t="s">
        <v>37</v>
      </c>
      <c r="J16" s="34" t="s">
        <v>27</v>
      </c>
      <c r="K16" s="34" t="s">
        <v>27</v>
      </c>
      <c r="L16" s="34" t="s">
        <v>27</v>
      </c>
      <c r="M16" s="34" t="s">
        <v>27</v>
      </c>
      <c r="N16" s="35">
        <v>2</v>
      </c>
      <c r="R16" s="49"/>
    </row>
    <row r="17" spans="2:18" x14ac:dyDescent="0.3">
      <c r="B17" s="33">
        <v>14</v>
      </c>
      <c r="C17" s="34" t="s">
        <v>28</v>
      </c>
      <c r="D17" s="34" t="s">
        <v>28</v>
      </c>
      <c r="E17" s="34" t="s">
        <v>28</v>
      </c>
      <c r="F17" s="36">
        <v>0.375</v>
      </c>
      <c r="G17" s="34" t="s">
        <v>27</v>
      </c>
      <c r="H17" s="55" t="s">
        <v>37</v>
      </c>
      <c r="I17" s="55" t="s">
        <v>37</v>
      </c>
      <c r="J17" s="34" t="s">
        <v>27</v>
      </c>
      <c r="K17" s="34" t="s">
        <v>27</v>
      </c>
      <c r="L17" s="34" t="s">
        <v>27</v>
      </c>
      <c r="M17" s="34" t="s">
        <v>27</v>
      </c>
      <c r="N17" s="35">
        <v>2</v>
      </c>
      <c r="R17" s="49"/>
    </row>
    <row r="18" spans="2:18" x14ac:dyDescent="0.3">
      <c r="B18" s="33">
        <v>15</v>
      </c>
      <c r="C18" s="34" t="s">
        <v>28</v>
      </c>
      <c r="D18" s="34" t="s">
        <v>28</v>
      </c>
      <c r="E18" s="34" t="s">
        <v>28</v>
      </c>
      <c r="F18" s="36">
        <v>0.375</v>
      </c>
      <c r="G18" s="34" t="s">
        <v>27</v>
      </c>
      <c r="H18" s="55" t="s">
        <v>37</v>
      </c>
      <c r="I18" s="55" t="s">
        <v>37</v>
      </c>
      <c r="J18" s="34" t="s">
        <v>27</v>
      </c>
      <c r="K18" s="34" t="s">
        <v>27</v>
      </c>
      <c r="L18" s="34" t="s">
        <v>27</v>
      </c>
      <c r="M18" s="34" t="s">
        <v>27</v>
      </c>
      <c r="N18" s="35">
        <v>2</v>
      </c>
    </row>
    <row r="19" spans="2:18" x14ac:dyDescent="0.3">
      <c r="B19" s="33">
        <v>16</v>
      </c>
      <c r="C19" s="34" t="s">
        <v>28</v>
      </c>
      <c r="D19" s="34" t="s">
        <v>28</v>
      </c>
      <c r="E19" s="34" t="s">
        <v>28</v>
      </c>
      <c r="F19" s="36">
        <v>0.375</v>
      </c>
      <c r="G19" s="34" t="s">
        <v>27</v>
      </c>
      <c r="H19" s="34" t="s">
        <v>27</v>
      </c>
      <c r="I19" s="34" t="s">
        <v>27</v>
      </c>
      <c r="J19" s="55" t="s">
        <v>37</v>
      </c>
      <c r="K19" s="55" t="s">
        <v>37</v>
      </c>
      <c r="L19" s="34" t="s">
        <v>27</v>
      </c>
      <c r="M19" s="34" t="s">
        <v>27</v>
      </c>
      <c r="N19" s="35">
        <v>2</v>
      </c>
    </row>
    <row r="20" spans="2:18" x14ac:dyDescent="0.3">
      <c r="B20" s="33">
        <v>17</v>
      </c>
      <c r="C20" s="34" t="s">
        <v>28</v>
      </c>
      <c r="D20" s="34" t="s">
        <v>28</v>
      </c>
      <c r="E20" s="34" t="s">
        <v>28</v>
      </c>
      <c r="F20" s="36">
        <v>0.375</v>
      </c>
      <c r="G20" s="34" t="s">
        <v>27</v>
      </c>
      <c r="H20" s="34" t="s">
        <v>27</v>
      </c>
      <c r="I20" s="34" t="s">
        <v>27</v>
      </c>
      <c r="J20" s="55" t="s">
        <v>37</v>
      </c>
      <c r="K20" s="55" t="s">
        <v>37</v>
      </c>
      <c r="L20" s="34" t="s">
        <v>27</v>
      </c>
      <c r="M20" s="34" t="s">
        <v>27</v>
      </c>
      <c r="N20" s="35">
        <v>2</v>
      </c>
    </row>
    <row r="21" spans="2:18" x14ac:dyDescent="0.3">
      <c r="B21" s="33">
        <v>18</v>
      </c>
      <c r="C21" s="34" t="s">
        <v>28</v>
      </c>
      <c r="D21" s="34" t="s">
        <v>28</v>
      </c>
      <c r="E21" s="34" t="s">
        <v>28</v>
      </c>
      <c r="F21" s="36">
        <v>0.375</v>
      </c>
      <c r="G21" s="34" t="s">
        <v>27</v>
      </c>
      <c r="H21" s="34" t="s">
        <v>27</v>
      </c>
      <c r="I21" s="34" t="s">
        <v>27</v>
      </c>
      <c r="J21" s="55" t="s">
        <v>37</v>
      </c>
      <c r="K21" s="55" t="s">
        <v>37</v>
      </c>
      <c r="L21" s="34" t="s">
        <v>27</v>
      </c>
      <c r="M21" s="34" t="s">
        <v>27</v>
      </c>
      <c r="N21" s="35">
        <v>2</v>
      </c>
    </row>
    <row r="22" spans="2:18" x14ac:dyDescent="0.3">
      <c r="B22" s="33">
        <v>19</v>
      </c>
      <c r="C22" s="34" t="s">
        <v>28</v>
      </c>
      <c r="D22" s="34" t="s">
        <v>28</v>
      </c>
      <c r="E22" s="34" t="s">
        <v>28</v>
      </c>
      <c r="F22" s="36">
        <v>0.375</v>
      </c>
      <c r="G22" s="34" t="s">
        <v>27</v>
      </c>
      <c r="H22" s="34" t="s">
        <v>27</v>
      </c>
      <c r="I22" s="34" t="s">
        <v>27</v>
      </c>
      <c r="J22" s="55" t="s">
        <v>37</v>
      </c>
      <c r="K22" s="55" t="s">
        <v>37</v>
      </c>
      <c r="L22" s="34" t="s">
        <v>27</v>
      </c>
      <c r="M22" s="34" t="s">
        <v>27</v>
      </c>
      <c r="N22" s="35">
        <v>2</v>
      </c>
    </row>
    <row r="23" spans="2:18" x14ac:dyDescent="0.3">
      <c r="B23" s="33">
        <v>20</v>
      </c>
      <c r="C23" s="34" t="s">
        <v>28</v>
      </c>
      <c r="D23" s="34" t="s">
        <v>28</v>
      </c>
      <c r="E23" s="34" t="s">
        <v>28</v>
      </c>
      <c r="F23" s="36">
        <v>0.375</v>
      </c>
      <c r="G23" s="34" t="s">
        <v>27</v>
      </c>
      <c r="H23" s="34" t="s">
        <v>27</v>
      </c>
      <c r="I23" s="34" t="s">
        <v>27</v>
      </c>
      <c r="J23" s="55" t="s">
        <v>37</v>
      </c>
      <c r="K23" s="55" t="s">
        <v>37</v>
      </c>
      <c r="L23" s="34" t="s">
        <v>27</v>
      </c>
      <c r="M23" s="34" t="s">
        <v>27</v>
      </c>
      <c r="N23" s="35">
        <v>2</v>
      </c>
    </row>
    <row r="24" spans="2:18" x14ac:dyDescent="0.3">
      <c r="B24" s="33">
        <v>21</v>
      </c>
      <c r="C24" s="34" t="s">
        <v>28</v>
      </c>
      <c r="D24" s="34" t="s">
        <v>28</v>
      </c>
      <c r="E24" s="34" t="s">
        <v>28</v>
      </c>
      <c r="F24" s="36">
        <v>0.375</v>
      </c>
      <c r="G24" s="34" t="s">
        <v>27</v>
      </c>
      <c r="H24" s="34" t="s">
        <v>27</v>
      </c>
      <c r="I24" s="34" t="s">
        <v>27</v>
      </c>
      <c r="J24" s="55" t="s">
        <v>37</v>
      </c>
      <c r="K24" s="55" t="s">
        <v>37</v>
      </c>
      <c r="L24" s="34" t="s">
        <v>27</v>
      </c>
      <c r="M24" s="34" t="s">
        <v>27</v>
      </c>
      <c r="N24" s="35">
        <v>2</v>
      </c>
    </row>
    <row r="25" spans="2:18" x14ac:dyDescent="0.3">
      <c r="B25" s="33">
        <v>22</v>
      </c>
      <c r="C25" s="34" t="s">
        <v>28</v>
      </c>
      <c r="D25" s="34" t="s">
        <v>28</v>
      </c>
      <c r="E25" s="34" t="s">
        <v>28</v>
      </c>
      <c r="F25" s="36">
        <v>0.375</v>
      </c>
      <c r="G25" s="34" t="s">
        <v>27</v>
      </c>
      <c r="H25" s="34" t="s">
        <v>27</v>
      </c>
      <c r="I25" s="34" t="s">
        <v>27</v>
      </c>
      <c r="J25" s="55" t="s">
        <v>37</v>
      </c>
      <c r="K25" s="55" t="s">
        <v>37</v>
      </c>
      <c r="L25" s="34" t="s">
        <v>27</v>
      </c>
      <c r="M25" s="34" t="s">
        <v>27</v>
      </c>
      <c r="N25" s="35">
        <v>2</v>
      </c>
    </row>
    <row r="26" spans="2:18" x14ac:dyDescent="0.3">
      <c r="B26" s="33">
        <v>23</v>
      </c>
      <c r="C26" s="34" t="s">
        <v>28</v>
      </c>
      <c r="D26" s="34" t="s">
        <v>28</v>
      </c>
      <c r="E26" s="34" t="s">
        <v>28</v>
      </c>
      <c r="F26" s="36">
        <v>0.375</v>
      </c>
      <c r="G26" s="34" t="s">
        <v>27</v>
      </c>
      <c r="H26" s="34" t="s">
        <v>27</v>
      </c>
      <c r="I26" s="34" t="s">
        <v>27</v>
      </c>
      <c r="J26" s="55" t="s">
        <v>37</v>
      </c>
      <c r="K26" s="55" t="s">
        <v>37</v>
      </c>
      <c r="L26" s="34" t="s">
        <v>27</v>
      </c>
      <c r="M26" s="34" t="s">
        <v>27</v>
      </c>
      <c r="N26" s="35">
        <v>2</v>
      </c>
    </row>
    <row r="27" spans="2:18" x14ac:dyDescent="0.3">
      <c r="B27" s="33">
        <v>24</v>
      </c>
      <c r="C27" s="34" t="s">
        <v>28</v>
      </c>
      <c r="D27" s="34" t="s">
        <v>28</v>
      </c>
      <c r="E27" s="34" t="s">
        <v>28</v>
      </c>
      <c r="F27" s="36">
        <v>0.375</v>
      </c>
      <c r="G27" s="34" t="s">
        <v>27</v>
      </c>
      <c r="H27" s="34" t="s">
        <v>27</v>
      </c>
      <c r="I27" s="34" t="s">
        <v>27</v>
      </c>
      <c r="J27" s="34" t="s">
        <v>27</v>
      </c>
      <c r="K27" s="34" t="s">
        <v>27</v>
      </c>
      <c r="L27" s="55" t="s">
        <v>37</v>
      </c>
      <c r="M27" s="55" t="s">
        <v>37</v>
      </c>
      <c r="N27" s="35">
        <v>2</v>
      </c>
    </row>
    <row r="28" spans="2:18" x14ac:dyDescent="0.3">
      <c r="B28" s="33">
        <v>25</v>
      </c>
      <c r="C28" s="34" t="s">
        <v>28</v>
      </c>
      <c r="D28" s="34" t="s">
        <v>28</v>
      </c>
      <c r="E28" s="34" t="s">
        <v>28</v>
      </c>
      <c r="F28" s="36">
        <v>0.5</v>
      </c>
      <c r="G28" s="34" t="s">
        <v>27</v>
      </c>
      <c r="H28" s="34" t="s">
        <v>27</v>
      </c>
      <c r="I28" s="34" t="s">
        <v>27</v>
      </c>
      <c r="J28" s="34" t="s">
        <v>27</v>
      </c>
      <c r="K28" s="34" t="s">
        <v>27</v>
      </c>
      <c r="L28" s="55" t="s">
        <v>37</v>
      </c>
      <c r="M28" s="55" t="s">
        <v>37</v>
      </c>
      <c r="N28" s="35">
        <v>2</v>
      </c>
    </row>
    <row r="29" spans="2:18" x14ac:dyDescent="0.3">
      <c r="B29" s="33">
        <v>26</v>
      </c>
      <c r="C29" s="34" t="s">
        <v>28</v>
      </c>
      <c r="D29" s="34" t="s">
        <v>28</v>
      </c>
      <c r="E29" s="34" t="s">
        <v>28</v>
      </c>
      <c r="F29" s="36">
        <v>0.5</v>
      </c>
      <c r="G29" s="34" t="s">
        <v>27</v>
      </c>
      <c r="H29" s="34" t="s">
        <v>27</v>
      </c>
      <c r="I29" s="34" t="s">
        <v>27</v>
      </c>
      <c r="J29" s="34" t="s">
        <v>27</v>
      </c>
      <c r="K29" s="34" t="s">
        <v>27</v>
      </c>
      <c r="L29" s="55" t="s">
        <v>37</v>
      </c>
      <c r="M29" s="55" t="s">
        <v>37</v>
      </c>
      <c r="N29" s="35">
        <v>2</v>
      </c>
    </row>
    <row r="30" spans="2:18" x14ac:dyDescent="0.3">
      <c r="B30" s="33">
        <v>27</v>
      </c>
      <c r="C30" s="34" t="s">
        <v>28</v>
      </c>
      <c r="D30" s="34" t="s">
        <v>28</v>
      </c>
      <c r="E30" s="34" t="s">
        <v>28</v>
      </c>
      <c r="F30" s="36">
        <v>0.5</v>
      </c>
      <c r="G30" s="34" t="s">
        <v>27</v>
      </c>
      <c r="H30" s="34" t="s">
        <v>27</v>
      </c>
      <c r="I30" s="34" t="s">
        <v>27</v>
      </c>
      <c r="J30" s="34" t="s">
        <v>27</v>
      </c>
      <c r="K30" s="34" t="s">
        <v>27</v>
      </c>
      <c r="L30" s="55" t="s">
        <v>37</v>
      </c>
      <c r="M30" s="55" t="s">
        <v>37</v>
      </c>
      <c r="N30" s="35">
        <v>2</v>
      </c>
    </row>
    <row r="31" spans="2:18" x14ac:dyDescent="0.3">
      <c r="B31" s="33">
        <v>28</v>
      </c>
      <c r="C31" s="34" t="s">
        <v>28</v>
      </c>
      <c r="D31" s="34" t="s">
        <v>28</v>
      </c>
      <c r="E31" s="34" t="s">
        <v>28</v>
      </c>
      <c r="F31" s="36">
        <v>0.5</v>
      </c>
      <c r="G31" s="34" t="s">
        <v>27</v>
      </c>
      <c r="H31" s="34" t="s">
        <v>27</v>
      </c>
      <c r="I31" s="34" t="s">
        <v>27</v>
      </c>
      <c r="J31" s="34" t="s">
        <v>27</v>
      </c>
      <c r="K31" s="34" t="s">
        <v>27</v>
      </c>
      <c r="L31" s="55" t="s">
        <v>37</v>
      </c>
      <c r="M31" s="55" t="s">
        <v>37</v>
      </c>
      <c r="N31" s="35">
        <v>2</v>
      </c>
    </row>
    <row r="32" spans="2:18" x14ac:dyDescent="0.3">
      <c r="B32" s="33">
        <v>29</v>
      </c>
      <c r="C32" s="34" t="s">
        <v>28</v>
      </c>
      <c r="D32" s="34" t="s">
        <v>28</v>
      </c>
      <c r="E32" s="34" t="s">
        <v>28</v>
      </c>
      <c r="F32" s="36">
        <v>0.5</v>
      </c>
      <c r="G32" s="34" t="s">
        <v>27</v>
      </c>
      <c r="H32" s="34" t="s">
        <v>27</v>
      </c>
      <c r="I32" s="34" t="s">
        <v>27</v>
      </c>
      <c r="J32" s="34" t="s">
        <v>27</v>
      </c>
      <c r="K32" s="34" t="s">
        <v>27</v>
      </c>
      <c r="L32" s="55" t="s">
        <v>37</v>
      </c>
      <c r="M32" s="55" t="s">
        <v>37</v>
      </c>
      <c r="N32" s="35">
        <v>2</v>
      </c>
    </row>
    <row r="33" spans="2:14" x14ac:dyDescent="0.3">
      <c r="B33" s="33">
        <v>30</v>
      </c>
      <c r="C33" s="34" t="s">
        <v>28</v>
      </c>
      <c r="D33" s="34" t="s">
        <v>28</v>
      </c>
      <c r="E33" s="34" t="s">
        <v>28</v>
      </c>
      <c r="F33" s="36">
        <v>0.5</v>
      </c>
      <c r="G33" s="34" t="s">
        <v>27</v>
      </c>
      <c r="H33" s="34" t="s">
        <v>27</v>
      </c>
      <c r="I33" s="34" t="s">
        <v>27</v>
      </c>
      <c r="J33" s="34" t="s">
        <v>27</v>
      </c>
      <c r="K33" s="34" t="s">
        <v>27</v>
      </c>
      <c r="L33" s="55" t="s">
        <v>37</v>
      </c>
      <c r="M33" s="55" t="s">
        <v>37</v>
      </c>
      <c r="N33" s="35">
        <v>2</v>
      </c>
    </row>
    <row r="34" spans="2:14" x14ac:dyDescent="0.3">
      <c r="B34" s="33">
        <v>31</v>
      </c>
      <c r="C34" s="34" t="s">
        <v>28</v>
      </c>
      <c r="D34" s="34" t="s">
        <v>28</v>
      </c>
      <c r="E34" s="34" t="s">
        <v>28</v>
      </c>
      <c r="F34" s="36">
        <v>0.5</v>
      </c>
      <c r="G34" s="34" t="s">
        <v>27</v>
      </c>
      <c r="H34" s="34" t="s">
        <v>27</v>
      </c>
      <c r="I34" s="34" t="s">
        <v>27</v>
      </c>
      <c r="J34" s="34" t="s">
        <v>27</v>
      </c>
      <c r="K34" s="34" t="s">
        <v>27</v>
      </c>
      <c r="L34" s="55" t="s">
        <v>37</v>
      </c>
      <c r="M34" s="55" t="s">
        <v>37</v>
      </c>
      <c r="N34" s="35">
        <v>2</v>
      </c>
    </row>
    <row r="35" spans="2:14" x14ac:dyDescent="0.3">
      <c r="B35" s="33">
        <v>32</v>
      </c>
      <c r="C35" s="34" t="s">
        <v>28</v>
      </c>
      <c r="D35" s="34" t="s">
        <v>28</v>
      </c>
      <c r="E35" s="34" t="s">
        <v>28</v>
      </c>
      <c r="F35" s="36">
        <v>0.54166666666666663</v>
      </c>
      <c r="G35" s="34" t="s">
        <v>27</v>
      </c>
      <c r="H35" s="34" t="s">
        <v>27</v>
      </c>
      <c r="I35" s="34" t="s">
        <v>27</v>
      </c>
      <c r="J35" s="34" t="s">
        <v>27</v>
      </c>
      <c r="K35" s="34" t="s">
        <v>27</v>
      </c>
      <c r="L35" s="55" t="s">
        <v>37</v>
      </c>
      <c r="M35" s="55" t="s">
        <v>37</v>
      </c>
      <c r="N35" s="35">
        <v>2</v>
      </c>
    </row>
    <row r="36" spans="2:14" x14ac:dyDescent="0.3">
      <c r="B36" s="33">
        <v>33</v>
      </c>
      <c r="C36" s="34" t="s">
        <v>28</v>
      </c>
      <c r="D36" s="34" t="s">
        <v>28</v>
      </c>
      <c r="E36" s="34" t="s">
        <v>28</v>
      </c>
      <c r="F36" s="36">
        <v>0.54166666666666663</v>
      </c>
      <c r="G36" s="34" t="s">
        <v>27</v>
      </c>
      <c r="H36" s="34" t="s">
        <v>27</v>
      </c>
      <c r="I36" s="34" t="s">
        <v>27</v>
      </c>
      <c r="J36" s="34" t="s">
        <v>27</v>
      </c>
      <c r="K36" s="34" t="s">
        <v>27</v>
      </c>
      <c r="L36" s="55" t="s">
        <v>37</v>
      </c>
      <c r="M36" s="55" t="s">
        <v>37</v>
      </c>
      <c r="N36" s="35">
        <v>2</v>
      </c>
    </row>
    <row r="37" spans="2:14" x14ac:dyDescent="0.3">
      <c r="B37" s="33">
        <v>34</v>
      </c>
      <c r="C37" s="34" t="s">
        <v>28</v>
      </c>
      <c r="D37" s="34" t="s">
        <v>28</v>
      </c>
      <c r="E37" s="34" t="s">
        <v>28</v>
      </c>
      <c r="F37" s="36">
        <v>0.54166666666666663</v>
      </c>
      <c r="G37" s="34" t="s">
        <v>27</v>
      </c>
      <c r="H37" s="34" t="s">
        <v>27</v>
      </c>
      <c r="I37" s="34" t="s">
        <v>27</v>
      </c>
      <c r="J37" s="34" t="s">
        <v>27</v>
      </c>
      <c r="K37" s="34" t="s">
        <v>27</v>
      </c>
      <c r="L37" s="55" t="s">
        <v>37</v>
      </c>
      <c r="M37" s="55" t="s">
        <v>37</v>
      </c>
      <c r="N37" s="35">
        <v>2</v>
      </c>
    </row>
    <row r="38" spans="2:14" x14ac:dyDescent="0.3">
      <c r="B38" s="33">
        <v>35</v>
      </c>
      <c r="C38" s="34" t="s">
        <v>28</v>
      </c>
      <c r="D38" s="34" t="s">
        <v>28</v>
      </c>
      <c r="E38" s="34" t="s">
        <v>28</v>
      </c>
      <c r="F38" s="36">
        <v>0.54166666666666663</v>
      </c>
      <c r="G38" s="34" t="s">
        <v>27</v>
      </c>
      <c r="H38" s="34" t="s">
        <v>27</v>
      </c>
      <c r="I38" s="34" t="s">
        <v>27</v>
      </c>
      <c r="J38" s="34" t="s">
        <v>27</v>
      </c>
      <c r="K38" s="34" t="s">
        <v>27</v>
      </c>
      <c r="L38" s="55" t="s">
        <v>37</v>
      </c>
      <c r="M38" s="55" t="s">
        <v>37</v>
      </c>
      <c r="N38" s="35">
        <v>2</v>
      </c>
    </row>
    <row r="39" spans="2:14" x14ac:dyDescent="0.3">
      <c r="B39" s="33">
        <v>36</v>
      </c>
      <c r="C39" s="34" t="s">
        <v>28</v>
      </c>
      <c r="D39" s="34" t="s">
        <v>28</v>
      </c>
      <c r="E39" s="34" t="s">
        <v>28</v>
      </c>
      <c r="F39" s="36">
        <v>0.54166666666666663</v>
      </c>
      <c r="G39" s="34" t="s">
        <v>27</v>
      </c>
      <c r="H39" s="34" t="s">
        <v>27</v>
      </c>
      <c r="I39" s="34" t="s">
        <v>27</v>
      </c>
      <c r="J39" s="34" t="s">
        <v>27</v>
      </c>
      <c r="K39" s="34" t="s">
        <v>27</v>
      </c>
      <c r="L39" s="55" t="s">
        <v>37</v>
      </c>
      <c r="M39" s="55" t="s">
        <v>37</v>
      </c>
      <c r="N39" s="35">
        <v>2</v>
      </c>
    </row>
    <row r="40" spans="2:14" x14ac:dyDescent="0.3">
      <c r="B40" s="33">
        <v>37</v>
      </c>
      <c r="C40" s="34" t="s">
        <v>28</v>
      </c>
      <c r="D40" s="34" t="s">
        <v>28</v>
      </c>
      <c r="E40" s="34" t="s">
        <v>28</v>
      </c>
      <c r="F40" s="36">
        <v>0.54166666666666663</v>
      </c>
      <c r="G40" s="34" t="s">
        <v>27</v>
      </c>
      <c r="H40" s="34" t="s">
        <v>27</v>
      </c>
      <c r="I40" s="34" t="s">
        <v>27</v>
      </c>
      <c r="J40" s="55" t="s">
        <v>37</v>
      </c>
      <c r="K40" s="55" t="s">
        <v>37</v>
      </c>
      <c r="L40" s="34" t="s">
        <v>27</v>
      </c>
      <c r="M40" s="34" t="s">
        <v>27</v>
      </c>
      <c r="N40" s="35">
        <v>2</v>
      </c>
    </row>
    <row r="41" spans="2:14" x14ac:dyDescent="0.3">
      <c r="B41" s="33">
        <v>38</v>
      </c>
      <c r="C41" s="34" t="s">
        <v>28</v>
      </c>
      <c r="D41" s="34" t="s">
        <v>28</v>
      </c>
      <c r="E41" s="34" t="s">
        <v>28</v>
      </c>
      <c r="F41" s="36">
        <v>0.54166666666666663</v>
      </c>
      <c r="G41" s="34" t="s">
        <v>27</v>
      </c>
      <c r="H41" s="34" t="s">
        <v>27</v>
      </c>
      <c r="I41" s="34" t="s">
        <v>27</v>
      </c>
      <c r="J41" s="55" t="s">
        <v>37</v>
      </c>
      <c r="K41" s="55" t="s">
        <v>37</v>
      </c>
      <c r="L41" s="34" t="s">
        <v>27</v>
      </c>
      <c r="M41" s="34" t="s">
        <v>27</v>
      </c>
      <c r="N41" s="35">
        <v>2</v>
      </c>
    </row>
    <row r="42" spans="2:14" x14ac:dyDescent="0.3">
      <c r="B42" s="33">
        <v>39</v>
      </c>
      <c r="C42" s="34" t="s">
        <v>28</v>
      </c>
      <c r="D42" s="34" t="s">
        <v>28</v>
      </c>
      <c r="E42" s="34" t="s">
        <v>28</v>
      </c>
      <c r="F42" s="36">
        <v>0.54166666666666663</v>
      </c>
      <c r="G42" s="34" t="s">
        <v>27</v>
      </c>
      <c r="H42" s="34" t="s">
        <v>27</v>
      </c>
      <c r="I42" s="34" t="s">
        <v>27</v>
      </c>
      <c r="J42" s="55" t="s">
        <v>37</v>
      </c>
      <c r="K42" s="55" t="s">
        <v>37</v>
      </c>
      <c r="L42" s="34" t="s">
        <v>27</v>
      </c>
      <c r="M42" s="34" t="s">
        <v>27</v>
      </c>
      <c r="N42" s="35">
        <v>2</v>
      </c>
    </row>
    <row r="43" spans="2:14" x14ac:dyDescent="0.3">
      <c r="B43" s="33">
        <v>40</v>
      </c>
      <c r="C43" s="34" t="s">
        <v>28</v>
      </c>
      <c r="D43" s="34" t="s">
        <v>28</v>
      </c>
      <c r="E43" s="34" t="s">
        <v>28</v>
      </c>
      <c r="F43" s="36">
        <v>0.625</v>
      </c>
      <c r="G43" s="34" t="s">
        <v>27</v>
      </c>
      <c r="H43" s="34" t="s">
        <v>27</v>
      </c>
      <c r="I43" s="34" t="s">
        <v>27</v>
      </c>
      <c r="J43" s="55" t="s">
        <v>37</v>
      </c>
      <c r="K43" s="55" t="s">
        <v>37</v>
      </c>
      <c r="L43" s="34" t="s">
        <v>27</v>
      </c>
      <c r="M43" s="34" t="s">
        <v>27</v>
      </c>
      <c r="N43" s="35">
        <v>2</v>
      </c>
    </row>
    <row r="44" spans="2:14" x14ac:dyDescent="0.3">
      <c r="B44" s="33">
        <v>41</v>
      </c>
      <c r="C44" s="34" t="s">
        <v>28</v>
      </c>
      <c r="D44" s="34" t="s">
        <v>28</v>
      </c>
      <c r="E44" s="34" t="s">
        <v>28</v>
      </c>
      <c r="F44" s="36">
        <v>0.625</v>
      </c>
      <c r="G44" s="34" t="s">
        <v>27</v>
      </c>
      <c r="H44" s="34" t="s">
        <v>27</v>
      </c>
      <c r="I44" s="34" t="s">
        <v>27</v>
      </c>
      <c r="J44" s="55" t="s">
        <v>37</v>
      </c>
      <c r="K44" s="55" t="s">
        <v>37</v>
      </c>
      <c r="L44" s="34" t="s">
        <v>27</v>
      </c>
      <c r="M44" s="34" t="s">
        <v>27</v>
      </c>
      <c r="N44" s="35">
        <v>2</v>
      </c>
    </row>
    <row r="45" spans="2:14" x14ac:dyDescent="0.3">
      <c r="B45" s="33">
        <v>42</v>
      </c>
      <c r="C45" s="34" t="s">
        <v>28</v>
      </c>
      <c r="D45" s="34" t="s">
        <v>28</v>
      </c>
      <c r="E45" s="34" t="s">
        <v>28</v>
      </c>
      <c r="F45" s="36">
        <v>0.625</v>
      </c>
      <c r="G45" s="34" t="s">
        <v>27</v>
      </c>
      <c r="H45" s="34" t="s">
        <v>27</v>
      </c>
      <c r="I45" s="34" t="s">
        <v>27</v>
      </c>
      <c r="J45" s="55" t="s">
        <v>37</v>
      </c>
      <c r="K45" s="55" t="s">
        <v>37</v>
      </c>
      <c r="L45" s="34" t="s">
        <v>27</v>
      </c>
      <c r="M45" s="34" t="s">
        <v>27</v>
      </c>
      <c r="N45" s="35">
        <v>2</v>
      </c>
    </row>
    <row r="46" spans="2:14" x14ac:dyDescent="0.3">
      <c r="B46" s="33">
        <v>43</v>
      </c>
      <c r="C46" s="34" t="s">
        <v>28</v>
      </c>
      <c r="D46" s="34" t="s">
        <v>28</v>
      </c>
      <c r="E46" s="34" t="s">
        <v>28</v>
      </c>
      <c r="F46" s="36">
        <v>0.625</v>
      </c>
      <c r="G46" s="34" t="s">
        <v>27</v>
      </c>
      <c r="H46" s="34" t="s">
        <v>27</v>
      </c>
      <c r="I46" s="34" t="s">
        <v>27</v>
      </c>
      <c r="J46" s="55" t="s">
        <v>37</v>
      </c>
      <c r="K46" s="55" t="s">
        <v>37</v>
      </c>
      <c r="L46" s="34" t="s">
        <v>27</v>
      </c>
      <c r="M46" s="34" t="s">
        <v>27</v>
      </c>
      <c r="N46" s="35">
        <v>2</v>
      </c>
    </row>
    <row r="47" spans="2:14" x14ac:dyDescent="0.3">
      <c r="B47" s="33">
        <v>44</v>
      </c>
      <c r="C47" s="34" t="s">
        <v>28</v>
      </c>
      <c r="D47" s="34" t="s">
        <v>28</v>
      </c>
      <c r="E47" s="34" t="s">
        <v>28</v>
      </c>
      <c r="F47" s="36">
        <v>0.625</v>
      </c>
      <c r="G47" s="34" t="s">
        <v>27</v>
      </c>
      <c r="H47" s="34" t="s">
        <v>27</v>
      </c>
      <c r="I47" s="34" t="s">
        <v>27</v>
      </c>
      <c r="J47" s="34" t="s">
        <v>27</v>
      </c>
      <c r="K47" s="34" t="s">
        <v>27</v>
      </c>
      <c r="L47" s="34" t="s">
        <v>27</v>
      </c>
      <c r="M47" s="34" t="s">
        <v>27</v>
      </c>
      <c r="N47" s="35">
        <v>2</v>
      </c>
    </row>
    <row r="48" spans="2:14" x14ac:dyDescent="0.3">
      <c r="B48" s="33">
        <v>45</v>
      </c>
      <c r="C48" s="34" t="s">
        <v>28</v>
      </c>
      <c r="D48" s="34" t="s">
        <v>28</v>
      </c>
      <c r="E48" s="34" t="s">
        <v>28</v>
      </c>
      <c r="F48" s="36">
        <v>0.625</v>
      </c>
      <c r="G48" s="34" t="s">
        <v>27</v>
      </c>
      <c r="H48" s="34" t="s">
        <v>27</v>
      </c>
      <c r="I48" s="34" t="s">
        <v>27</v>
      </c>
      <c r="J48" s="34" t="s">
        <v>27</v>
      </c>
      <c r="K48" s="34" t="s">
        <v>27</v>
      </c>
      <c r="L48" s="34" t="s">
        <v>27</v>
      </c>
      <c r="M48" s="34" t="s">
        <v>27</v>
      </c>
      <c r="N48" s="35">
        <v>2</v>
      </c>
    </row>
    <row r="49" spans="2:14" x14ac:dyDescent="0.3">
      <c r="B49" s="33">
        <v>46</v>
      </c>
      <c r="C49" s="34" t="s">
        <v>28</v>
      </c>
      <c r="D49" s="34" t="s">
        <v>28</v>
      </c>
      <c r="E49" s="34" t="s">
        <v>28</v>
      </c>
      <c r="F49" s="36">
        <v>0.625</v>
      </c>
      <c r="G49" s="34" t="s">
        <v>27</v>
      </c>
      <c r="H49" s="34" t="s">
        <v>27</v>
      </c>
      <c r="I49" s="34" t="s">
        <v>27</v>
      </c>
      <c r="J49" s="34" t="s">
        <v>27</v>
      </c>
      <c r="K49" s="34" t="s">
        <v>27</v>
      </c>
      <c r="L49" s="55" t="s">
        <v>37</v>
      </c>
      <c r="M49" s="55" t="s">
        <v>37</v>
      </c>
      <c r="N49" s="35">
        <v>2</v>
      </c>
    </row>
    <row r="50" spans="2:14" x14ac:dyDescent="0.3">
      <c r="B50" s="33">
        <v>47</v>
      </c>
      <c r="C50" s="34" t="s">
        <v>28</v>
      </c>
      <c r="D50" s="34" t="s">
        <v>28</v>
      </c>
      <c r="E50" s="34" t="s">
        <v>28</v>
      </c>
      <c r="F50" s="36">
        <v>0.625</v>
      </c>
      <c r="G50" s="55" t="s">
        <v>37</v>
      </c>
      <c r="H50" s="55" t="s">
        <v>37</v>
      </c>
      <c r="I50" s="34" t="s">
        <v>27</v>
      </c>
      <c r="J50" s="34" t="s">
        <v>27</v>
      </c>
      <c r="K50" s="34" t="s">
        <v>27</v>
      </c>
      <c r="L50" s="34" t="s">
        <v>27</v>
      </c>
      <c r="M50" s="34" t="s">
        <v>27</v>
      </c>
      <c r="N50" s="35">
        <v>2</v>
      </c>
    </row>
    <row r="51" spans="2:14" x14ac:dyDescent="0.3">
      <c r="B51" s="33">
        <v>48</v>
      </c>
      <c r="C51" s="34" t="s">
        <v>28</v>
      </c>
      <c r="D51" s="34" t="s">
        <v>28</v>
      </c>
      <c r="E51" s="34" t="s">
        <v>28</v>
      </c>
      <c r="F51" s="36">
        <v>0.625</v>
      </c>
      <c r="G51" s="55" t="s">
        <v>37</v>
      </c>
      <c r="H51" s="55" t="s">
        <v>37</v>
      </c>
      <c r="I51" s="34" t="s">
        <v>27</v>
      </c>
      <c r="J51" s="34" t="s">
        <v>27</v>
      </c>
      <c r="K51" s="34" t="s">
        <v>27</v>
      </c>
      <c r="L51" s="34" t="s">
        <v>27</v>
      </c>
      <c r="M51" s="34" t="s">
        <v>27</v>
      </c>
      <c r="N51" s="35">
        <v>2</v>
      </c>
    </row>
    <row r="52" spans="2:14" x14ac:dyDescent="0.3">
      <c r="B52" s="33">
        <v>49</v>
      </c>
      <c r="C52" s="34" t="s">
        <v>28</v>
      </c>
      <c r="D52" s="34" t="s">
        <v>28</v>
      </c>
      <c r="E52" s="34" t="s">
        <v>28</v>
      </c>
      <c r="F52" s="36">
        <v>0.625</v>
      </c>
      <c r="G52" s="55" t="s">
        <v>37</v>
      </c>
      <c r="H52" s="55" t="s">
        <v>37</v>
      </c>
      <c r="I52" s="34" t="s">
        <v>27</v>
      </c>
      <c r="J52" s="34" t="s">
        <v>27</v>
      </c>
      <c r="K52" s="34" t="s">
        <v>27</v>
      </c>
      <c r="L52" s="34" t="s">
        <v>27</v>
      </c>
      <c r="M52" s="34" t="s">
        <v>27</v>
      </c>
      <c r="N52" s="35">
        <v>2</v>
      </c>
    </row>
    <row r="53" spans="2:14" ht="15" thickBot="1" x14ac:dyDescent="0.35"/>
    <row r="54" spans="2:14" ht="15" thickBot="1" x14ac:dyDescent="0.35">
      <c r="E54" s="37" t="s">
        <v>30</v>
      </c>
      <c r="F54" s="39" t="s">
        <v>29</v>
      </c>
      <c r="G54" s="40" t="s">
        <v>1</v>
      </c>
      <c r="H54" s="40" t="s">
        <v>2</v>
      </c>
      <c r="I54" s="40" t="s">
        <v>3</v>
      </c>
      <c r="J54" s="40" t="s">
        <v>4</v>
      </c>
      <c r="K54" s="40" t="s">
        <v>5</v>
      </c>
      <c r="L54" s="40" t="s">
        <v>6</v>
      </c>
      <c r="M54" s="41" t="s">
        <v>0</v>
      </c>
    </row>
    <row r="55" spans="2:14" ht="15.6" thickTop="1" thickBot="1" x14ac:dyDescent="0.35">
      <c r="F55" s="42">
        <v>0.375</v>
      </c>
      <c r="G55" s="38">
        <f>COUNTIFS($F$4:$F$52,$F55,G$4:G$52,"P")</f>
        <v>24</v>
      </c>
      <c r="H55" s="38">
        <f t="shared" ref="H55:M61" si="0">COUNTIFS($F$4:$F$52,$F55,H$4:H$52,"P")</f>
        <v>19</v>
      </c>
      <c r="I55" s="38">
        <f t="shared" si="0"/>
        <v>19</v>
      </c>
      <c r="J55" s="38">
        <f t="shared" si="0"/>
        <v>15</v>
      </c>
      <c r="K55" s="38">
        <f t="shared" si="0"/>
        <v>15</v>
      </c>
      <c r="L55" s="38">
        <f t="shared" si="0"/>
        <v>15</v>
      </c>
      <c r="M55" s="38">
        <f t="shared" si="0"/>
        <v>15</v>
      </c>
    </row>
    <row r="56" spans="2:14" ht="15.6" thickTop="1" thickBot="1" x14ac:dyDescent="0.35">
      <c r="F56" s="42">
        <v>0.41666666666666669</v>
      </c>
      <c r="G56" s="38">
        <f t="shared" ref="G56:G61" si="1">COUNTIFS($F$4:$F$52,$F56,G$4:G$52,"P")</f>
        <v>0</v>
      </c>
      <c r="H56" s="38">
        <f t="shared" si="0"/>
        <v>0</v>
      </c>
      <c r="I56" s="38">
        <f t="shared" si="0"/>
        <v>0</v>
      </c>
      <c r="J56" s="38">
        <f t="shared" si="0"/>
        <v>0</v>
      </c>
      <c r="K56" s="38">
        <f t="shared" si="0"/>
        <v>0</v>
      </c>
      <c r="L56" s="38">
        <f t="shared" si="0"/>
        <v>0</v>
      </c>
      <c r="M56" s="38">
        <f t="shared" si="0"/>
        <v>0</v>
      </c>
    </row>
    <row r="57" spans="2:14" ht="15.6" thickTop="1" thickBot="1" x14ac:dyDescent="0.35">
      <c r="F57" s="42">
        <v>0.45833333333333331</v>
      </c>
      <c r="G57" s="38">
        <f t="shared" si="1"/>
        <v>0</v>
      </c>
      <c r="H57" s="38">
        <f t="shared" si="0"/>
        <v>0</v>
      </c>
      <c r="I57" s="38">
        <f t="shared" si="0"/>
        <v>0</v>
      </c>
      <c r="J57" s="38">
        <f t="shared" si="0"/>
        <v>0</v>
      </c>
      <c r="K57" s="38">
        <f t="shared" si="0"/>
        <v>0</v>
      </c>
      <c r="L57" s="38">
        <f t="shared" si="0"/>
        <v>0</v>
      </c>
      <c r="M57" s="38">
        <f t="shared" si="0"/>
        <v>0</v>
      </c>
    </row>
    <row r="58" spans="2:14" ht="15.6" thickTop="1" thickBot="1" x14ac:dyDescent="0.35">
      <c r="F58" s="42">
        <v>0.5</v>
      </c>
      <c r="G58" s="38">
        <f t="shared" si="1"/>
        <v>7</v>
      </c>
      <c r="H58" s="38">
        <f t="shared" si="0"/>
        <v>7</v>
      </c>
      <c r="I58" s="38">
        <f t="shared" si="0"/>
        <v>7</v>
      </c>
      <c r="J58" s="38">
        <f t="shared" si="0"/>
        <v>7</v>
      </c>
      <c r="K58" s="38">
        <f t="shared" si="0"/>
        <v>7</v>
      </c>
      <c r="L58" s="38">
        <f t="shared" si="0"/>
        <v>0</v>
      </c>
      <c r="M58" s="38">
        <f t="shared" si="0"/>
        <v>0</v>
      </c>
    </row>
    <row r="59" spans="2:14" ht="15.6" thickTop="1" thickBot="1" x14ac:dyDescent="0.35">
      <c r="F59" s="42">
        <v>0.54166666666666663</v>
      </c>
      <c r="G59" s="38">
        <f t="shared" si="1"/>
        <v>8</v>
      </c>
      <c r="H59" s="38">
        <f t="shared" si="0"/>
        <v>8</v>
      </c>
      <c r="I59" s="38">
        <f t="shared" si="0"/>
        <v>8</v>
      </c>
      <c r="J59" s="38">
        <f t="shared" si="0"/>
        <v>5</v>
      </c>
      <c r="K59" s="38">
        <f t="shared" si="0"/>
        <v>5</v>
      </c>
      <c r="L59" s="38">
        <f t="shared" si="0"/>
        <v>3</v>
      </c>
      <c r="M59" s="38">
        <f t="shared" si="0"/>
        <v>3</v>
      </c>
    </row>
    <row r="60" spans="2:14" ht="15.6" thickTop="1" thickBot="1" x14ac:dyDescent="0.35">
      <c r="F60" s="42">
        <v>0.58333333333333337</v>
      </c>
      <c r="G60" s="38">
        <f t="shared" si="1"/>
        <v>0</v>
      </c>
      <c r="H60" s="38">
        <f t="shared" si="0"/>
        <v>0</v>
      </c>
      <c r="I60" s="38">
        <f t="shared" si="0"/>
        <v>0</v>
      </c>
      <c r="J60" s="38">
        <f t="shared" si="0"/>
        <v>0</v>
      </c>
      <c r="K60" s="38">
        <f t="shared" si="0"/>
        <v>0</v>
      </c>
      <c r="L60" s="38">
        <f t="shared" si="0"/>
        <v>0</v>
      </c>
      <c r="M60" s="38">
        <f t="shared" si="0"/>
        <v>0</v>
      </c>
    </row>
    <row r="61" spans="2:14" ht="15.6" thickTop="1" thickBot="1" x14ac:dyDescent="0.35">
      <c r="F61" s="43">
        <v>0.625</v>
      </c>
      <c r="G61" s="38">
        <f t="shared" si="1"/>
        <v>7</v>
      </c>
      <c r="H61" s="38">
        <f t="shared" si="0"/>
        <v>7</v>
      </c>
      <c r="I61" s="38">
        <f t="shared" si="0"/>
        <v>10</v>
      </c>
      <c r="J61" s="38">
        <f t="shared" si="0"/>
        <v>6</v>
      </c>
      <c r="K61" s="38">
        <f t="shared" si="0"/>
        <v>6</v>
      </c>
      <c r="L61" s="38">
        <f t="shared" si="0"/>
        <v>9</v>
      </c>
      <c r="M61" s="38">
        <f t="shared" si="0"/>
        <v>9</v>
      </c>
    </row>
    <row r="62" spans="2:14" ht="15.6" thickTop="1" thickBot="1" x14ac:dyDescent="0.35">
      <c r="F62" s="44" t="s">
        <v>8</v>
      </c>
      <c r="G62" s="45">
        <f>SUM(G$55:G$61)</f>
        <v>46</v>
      </c>
      <c r="H62" s="45">
        <f t="shared" ref="H62:M62" si="2">SUM(H$55:H$61)</f>
        <v>41</v>
      </c>
      <c r="I62" s="45">
        <f t="shared" si="2"/>
        <v>44</v>
      </c>
      <c r="J62" s="45">
        <f t="shared" si="2"/>
        <v>33</v>
      </c>
      <c r="K62" s="45">
        <f t="shared" si="2"/>
        <v>33</v>
      </c>
      <c r="L62" s="45">
        <f t="shared" si="2"/>
        <v>27</v>
      </c>
      <c r="M62" s="46">
        <f t="shared" si="2"/>
        <v>27</v>
      </c>
    </row>
  </sheetData>
  <mergeCells count="2">
    <mergeCell ref="N2:N3"/>
    <mergeCell ref="B3:F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 Arraivals</vt:lpstr>
      <vt:lpstr>Schedule Validation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Ali</dc:creator>
  <cp:lastModifiedBy>Islam Ali</cp:lastModifiedBy>
  <dcterms:created xsi:type="dcterms:W3CDTF">2015-06-05T18:17:20Z</dcterms:created>
  <dcterms:modified xsi:type="dcterms:W3CDTF">2025-10-19T12:38:09Z</dcterms:modified>
</cp:coreProperties>
</file>